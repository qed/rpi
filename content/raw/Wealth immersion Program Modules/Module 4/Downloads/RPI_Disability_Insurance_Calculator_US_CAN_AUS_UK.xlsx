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Monika\Downloads\"/>
    </mc:Choice>
  </mc:AlternateContent>
  <xr:revisionPtr revIDLastSave="0" documentId="8_{00B21E4C-3470-44D1-9FC0-E8CBD85903C6}" xr6:coauthVersionLast="47" xr6:coauthVersionMax="47" xr10:uidLastSave="{00000000-0000-0000-0000-000000000000}"/>
  <bookViews>
    <workbookView xWindow="-108" yWindow="-108" windowWidth="23256" windowHeight="12456" xr2:uid="{00000000-000D-0000-FFFF-FFFF00000000}"/>
  </bookViews>
  <sheets>
    <sheet name="Start Here" sheetId="1" r:id="rId1"/>
    <sheet name="Dashboard" sheetId="2" r:id="rId2"/>
    <sheet name="Notes &amp; Disclaimer" sheetId="3" r:id="rId3"/>
    <sheet name="US" sheetId="4" r:id="rId4"/>
    <sheet name="Canada" sheetId="5" r:id="rId5"/>
    <sheet name="Australia" sheetId="6" r:id="rId6"/>
    <sheet name="UK"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7" l="1"/>
  <c r="B24" i="7"/>
  <c r="B21" i="7"/>
  <c r="B22" i="7" s="1"/>
  <c r="B20" i="7"/>
  <c r="G10" i="7"/>
  <c r="G9" i="7"/>
  <c r="G7" i="7"/>
  <c r="B25" i="6"/>
  <c r="B24" i="6"/>
  <c r="B21" i="6"/>
  <c r="B22" i="6" s="1"/>
  <c r="B20" i="6"/>
  <c r="G10" i="6"/>
  <c r="G9" i="6"/>
  <c r="G7" i="6"/>
  <c r="B25" i="5"/>
  <c r="B24" i="5"/>
  <c r="B21" i="5"/>
  <c r="B22" i="5" s="1"/>
  <c r="B20" i="5"/>
  <c r="G10" i="5"/>
  <c r="G9" i="5"/>
  <c r="G7" i="5"/>
  <c r="B25" i="4"/>
  <c r="B24" i="4"/>
  <c r="B21" i="4"/>
  <c r="B22" i="4" s="1"/>
  <c r="B20" i="4"/>
  <c r="G10" i="4"/>
  <c r="G9" i="4"/>
  <c r="G7" i="4"/>
  <c r="B5" i="2"/>
  <c r="B11" i="2"/>
  <c r="B12" i="2"/>
  <c r="B26" i="7" l="1"/>
  <c r="B23" i="7"/>
  <c r="G8" i="7" s="1"/>
  <c r="G6" i="7"/>
  <c r="B26" i="6"/>
  <c r="B23" i="6"/>
  <c r="G8" i="6" s="1"/>
  <c r="G6" i="6"/>
  <c r="B26" i="4"/>
  <c r="G6" i="4"/>
  <c r="B23" i="4"/>
  <c r="G8" i="4" s="1"/>
  <c r="B26" i="5"/>
  <c r="B23" i="5"/>
  <c r="G8" i="5" s="1"/>
  <c r="G6" i="5"/>
  <c r="B10" i="2"/>
  <c r="B8" i="2"/>
  <c r="B9" i="2"/>
</calcChain>
</file>

<file path=xl/sharedStrings.xml><?xml version="1.0" encoding="utf-8"?>
<sst xmlns="http://schemas.openxmlformats.org/spreadsheetml/2006/main" count="198" uniqueCount="78">
  <si>
    <t>RPI Education — Disability Insurance Calculator</t>
  </si>
  <si>
    <t>Interactive tool (US | Canada | Australia | UK)</t>
  </si>
  <si>
    <t>1) Choose your country</t>
  </si>
  <si>
    <t>Country</t>
  </si>
  <si>
    <t>US</t>
  </si>
  <si>
    <t>Quick Start</t>
  </si>
  <si>
    <t>1. Select your country above.</t>
  </si>
  <si>
    <t>2. Go to the matching tab (US / Canada / Australia / UK).</t>
  </si>
  <si>
    <t>3. Fill in the blue cells.</t>
  </si>
  <si>
    <t>4. Review your results on the Dashboard tab.</t>
  </si>
  <si>
    <t>2) What this calculator estimates</t>
  </si>
  <si>
    <t>• A target monthly disability benefit based on your income and desired replacement %.</t>
  </si>
  <si>
    <t>• Your coverage gap after accounting for current coverage and savings buffer.</t>
  </si>
  <si>
    <t>• Scenario toggles for taxability/benefit type (varies by country and plan).</t>
  </si>
  <si>
    <t>3) Disclaimer</t>
  </si>
  <si>
    <t>Educational tool only. Not insurance, legal, or tax advice. Rules vary by jurisdiction and policy. Consult a licensed professional in your area.</t>
  </si>
  <si>
    <t>Dashboard</t>
  </si>
  <si>
    <t>Summary pulls from the country tab selected on 'Start Here'</t>
  </si>
  <si>
    <t>Selected Country</t>
  </si>
  <si>
    <t>Key Outputs</t>
  </si>
  <si>
    <t>Target monthly benefit</t>
  </si>
  <si>
    <t>Current monthly coverage</t>
  </si>
  <si>
    <t>Monthly coverage gap</t>
  </si>
  <si>
    <t>Waiting period (days)</t>
  </si>
  <si>
    <t>Benefit period (years)</t>
  </si>
  <si>
    <t>Interpretation Guide</t>
  </si>
  <si>
    <t>Use the 'Monthly coverage gap' as a starting point when comparing quotes or reviewing your existing plan.
• If the gap is $0, you may already have coverage near your selected target.
• If the gap is positive, consider whether your budget and risk tolerance support additional coverage.
Always verify policy definitions, caps, offsets, exclusions, and tax treatment with a licensed/regulated professional.</t>
  </si>
  <si>
    <t>Notes &amp; Disclaimer</t>
  </si>
  <si>
    <t>Please read before using the calculator</t>
  </si>
  <si>
    <t>Financial Education Disclaimer</t>
  </si>
  <si>
    <t>This calculator is provided for educational and informational purposes only and does not constitute insurance advice, financial advice, tax advice, or legal advice. Results are estimates based on the inputs you provide and simplified assumptions. Disability/income protection products, definitions, underwriting, exclusions, offsets, and tax treatment vary by country, region, insurer, and policy. Before purchasing, changing, or cancelling coverage, consult a licensed/regulated insurance professional in your jurisdiction and review the actual policy wording.</t>
  </si>
  <si>
    <t>How the calculator works (high level)</t>
  </si>
  <si>
    <t>1) You enter gross income and a desired replacement rate.
2) The tool estimates a target monthly benefit (gross basis) and compares it to any current coverage.
3) The difference is shown as an estimated 'coverage gap'.
4) Optional fields help you think through waiting period costs and savings buffers.
Tip: If you’re unsure what to enter, start with your best estimate and refine after reviewing your current plan documents.</t>
  </si>
  <si>
    <t>United States — Disability / Income Protection Estimator</t>
  </si>
  <si>
    <t>Fill in blue cells. Gray cells are calculated.</t>
  </si>
  <si>
    <t>Inputs</t>
  </si>
  <si>
    <t>Annual gross income</t>
  </si>
  <si>
    <t>$</t>
  </si>
  <si>
    <t>Dashboard Map</t>
  </si>
  <si>
    <t>Estimated tax &amp; payroll rate (optional)</t>
  </si>
  <si>
    <t>%</t>
  </si>
  <si>
    <t>TargetMonthly</t>
  </si>
  <si>
    <t>Desired income replacement rate</t>
  </si>
  <si>
    <t>CurrentMonthly</t>
  </si>
  <si>
    <t>Waiting period</t>
  </si>
  <si>
    <t>days</t>
  </si>
  <si>
    <t>GapMonthly</t>
  </si>
  <si>
    <t>Benefit period</t>
  </si>
  <si>
    <t>years</t>
  </si>
  <si>
    <t>WaitingDays</t>
  </si>
  <si>
    <t>Current monthly disability coverage (if any)</t>
  </si>
  <si>
    <t>$/mo</t>
  </si>
  <si>
    <t>BenefitYears</t>
  </si>
  <si>
    <t>Emergency savings available for disability gap</t>
  </si>
  <si>
    <t>Monthly essential expenses (optional)</t>
  </si>
  <si>
    <t>Plan Assumptions (toggle)</t>
  </si>
  <si>
    <t>Are benefits expected to be taxable?</t>
  </si>
  <si>
    <t>Depends</t>
  </si>
  <si>
    <t>Inflation adjustment on benefit?</t>
  </si>
  <si>
    <t>No</t>
  </si>
  <si>
    <t>Inflation rate (if Yes)</t>
  </si>
  <si>
    <t>Results</t>
  </si>
  <si>
    <t>Estimated net annual income (optional)</t>
  </si>
  <si>
    <t>Target annual benefit (gross basis)</t>
  </si>
  <si>
    <t>Monthly coverage gap (target - current)</t>
  </si>
  <si>
    <t>Savings buffer (months)</t>
  </si>
  <si>
    <t>Estimated waiting period cost (if expenses entered)</t>
  </si>
  <si>
    <t>Suggested monthly benefit to compare against quotes</t>
  </si>
  <si>
    <t>Country Notes</t>
  </si>
  <si>
    <t>US notes (general): Employer long‑term disability (LTD) often targets ~50–70% of income, sometimes with monthly caps. Benefit taxability can depend on who paid the premiums (employer vs employee). Some plans offset benefits by Social Security disability. Use this tool to estimate a target benefit and identify gaps; confirm definitions (own‑occupation vs any‑occupation), caps, offsets, and exclusions with a licensed advisor.</t>
  </si>
  <si>
    <t>Canada — Disability / Income Protection Estimator</t>
  </si>
  <si>
    <t>Canada notes (general): Group LTD benefits are often taxable if the employer pays premiums; if you pay premiums personally, benefits are often tax‑free. Some plans coordinate with CPP Disability. Confirm waiting period, definition of disability, and benefit duration. This tool estimates targets and gaps for education only—check your policy wording and consult a licensed professional.</t>
  </si>
  <si>
    <t>Australia — Disability / Income Protection Estimator</t>
  </si>
  <si>
    <t>Australia notes (general): 'Income protection' typically replaces a percentage of income after a waiting period, for a set benefit period. Coverage can be held inside or outside super; tax treatment and definitions can differ. Confirm benefit calculations, indexation, and exclusions with a licensed adviser.</t>
  </si>
  <si>
    <t>United Kingdom — Disability / Income Protection Estimator</t>
  </si>
  <si>
    <t>£</t>
  </si>
  <si>
    <t>£/mo</t>
  </si>
  <si>
    <t>UK notes (general): 'Income protection' commonly pays a portion of income after a deferred period, often to a stated age/term. State support may exist but varies; confirm tax treatment and policy definitions. This tool is educational—review policy terms and consult a regulated adviser.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</si>
</sst>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
    <numFmt numFmtId="165" formatCode="0.0"/>
    <numFmt numFmtId="166" formatCode="&quot;£&quot;#,##0"/>
    <numFmt numFmtId="167" formatCode="\$#,##0;[Red]\-\$#,##0"/>
  </numFmts>
  <fonts count="9" x14ac:knownFonts="1">
    <font>
      <sz val="11"/>
      <color theme="1"/>
      <name val="Calibri"/>
      <family val="2"/>
      <scheme val="minor"/>
    </font>
    <font>
      <b/>
      <sz val="14"/>
      <color rgb="FFFFFFFF"/>
      <name val="Calibri"/>
    </font>
    <font>
      <b/>
      <sz val="11"/>
      <color rgb="FF111111"/>
      <name val="Calibri"/>
    </font>
    <font>
      <b/>
      <sz val="12"/>
      <color rgb="FF111111"/>
      <name val="Calibri"/>
    </font>
    <font>
      <b/>
      <sz val="11"/>
      <color rgb="FF111111"/>
      <name val="Calibri"/>
    </font>
    <font>
      <sz val="11"/>
      <color rgb="FF111111"/>
      <name val="Calibri"/>
    </font>
    <font>
      <sz val="10"/>
      <color rgb="FF111111"/>
      <name val="Calibri"/>
    </font>
    <font>
      <i/>
      <sz val="11"/>
      <color rgb="FF6B7280"/>
      <name val="Calibri"/>
    </font>
    <font>
      <sz val="11"/>
      <color rgb="FF6B7280"/>
      <name val="Calibri"/>
    </font>
  </fonts>
  <fills count="6">
    <fill>
      <patternFill patternType="none"/>
    </fill>
    <fill>
      <patternFill patternType="gray125"/>
    </fill>
    <fill>
      <patternFill patternType="solid">
        <fgColor rgb="FF111111"/>
      </patternFill>
    </fill>
    <fill>
      <patternFill patternType="solid">
        <fgColor rgb="FFF2D200"/>
      </patternFill>
    </fill>
    <fill>
      <patternFill patternType="solid">
        <fgColor rgb="FFE8F0FE"/>
      </patternFill>
    </fill>
    <fill>
      <patternFill patternType="solid">
        <fgColor rgb="FFF3F4F6"/>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29">
    <xf numFmtId="0" fontId="0" fillId="0" borderId="0" xfId="0"/>
    <xf numFmtId="0" fontId="4" fillId="0" borderId="0" xfId="0" applyFont="1" applyAlignment="1">
      <alignment horizontal="left"/>
    </xf>
    <xf numFmtId="0" fontId="0" fillId="4" borderId="1" xfId="0" applyFill="1" applyBorder="1" applyAlignment="1">
      <alignment horizontal="left"/>
    </xf>
    <xf numFmtId="0" fontId="3" fillId="0" borderId="0" xfId="0" applyFont="1"/>
    <xf numFmtId="0" fontId="5" fillId="0" borderId="0" xfId="0" applyFont="1"/>
    <xf numFmtId="0" fontId="0" fillId="4" borderId="1" xfId="0" applyFill="1" applyBorder="1"/>
    <xf numFmtId="167" fontId="0" fillId="5" borderId="1" xfId="0" applyNumberFormat="1" applyFill="1" applyBorder="1" applyAlignment="1">
      <alignment horizontal="left"/>
    </xf>
    <xf numFmtId="1" fontId="0" fillId="5" borderId="1" xfId="0" applyNumberFormat="1" applyFill="1" applyBorder="1" applyAlignment="1">
      <alignment horizontal="left"/>
    </xf>
    <xf numFmtId="0" fontId="4" fillId="0" borderId="1" xfId="0" applyFont="1" applyBorder="1" applyAlignment="1">
      <alignment horizontal="left"/>
    </xf>
    <xf numFmtId="164" fontId="0" fillId="4" borderId="1" xfId="0" applyNumberFormat="1" applyFill="1" applyBorder="1" applyAlignment="1">
      <alignment horizontal="left"/>
    </xf>
    <xf numFmtId="0" fontId="7" fillId="0" borderId="1" xfId="0" applyFont="1" applyBorder="1"/>
    <xf numFmtId="0" fontId="7" fillId="0" borderId="0" xfId="0" applyFont="1"/>
    <xf numFmtId="9" fontId="0" fillId="4" borderId="1" xfId="0" applyNumberFormat="1" applyFill="1" applyBorder="1" applyAlignment="1">
      <alignment horizontal="left"/>
    </xf>
    <xf numFmtId="0" fontId="8" fillId="0" borderId="0" xfId="0" applyFont="1"/>
    <xf numFmtId="164" fontId="0" fillId="0" borderId="0" xfId="0" applyNumberFormat="1"/>
    <xf numFmtId="1" fontId="0" fillId="4" borderId="1" xfId="0" applyNumberFormat="1" applyFill="1" applyBorder="1" applyAlignment="1">
      <alignment horizontal="left"/>
    </xf>
    <xf numFmtId="1" fontId="0" fillId="0" borderId="0" xfId="0" applyNumberFormat="1"/>
    <xf numFmtId="164" fontId="0" fillId="5" borderId="1" xfId="0" applyNumberFormat="1" applyFill="1" applyBorder="1" applyAlignment="1">
      <alignment horizontal="left"/>
    </xf>
    <xf numFmtId="165" fontId="0" fillId="5" borderId="1" xfId="0" applyNumberFormat="1" applyFill="1" applyBorder="1" applyAlignment="1">
      <alignment horizontal="left"/>
    </xf>
    <xf numFmtId="166" fontId="0" fillId="4" borderId="1" xfId="0" applyNumberFormat="1" applyFill="1" applyBorder="1" applyAlignment="1">
      <alignment horizontal="left"/>
    </xf>
    <xf numFmtId="166" fontId="0" fillId="0" borderId="0" xfId="0" applyNumberFormat="1"/>
    <xf numFmtId="166" fontId="0" fillId="5" borderId="1" xfId="0" applyNumberFormat="1" applyFill="1" applyBorder="1" applyAlignment="1">
      <alignment horizontal="left"/>
    </xf>
    <xf numFmtId="0" fontId="3" fillId="3" borderId="0" xfId="0" applyFont="1" applyFill="1" applyAlignment="1">
      <alignment horizontal="left" vertical="center"/>
    </xf>
    <xf numFmtId="0" fontId="0" fillId="0" borderId="0" xfId="0"/>
    <xf numFmtId="0" fontId="2" fillId="0" borderId="0" xfId="0" applyFont="1" applyAlignment="1">
      <alignment horizontal="left" vertical="center"/>
    </xf>
    <xf numFmtId="0" fontId="6" fillId="5" borderId="1" xfId="0" applyFont="1" applyFill="1" applyBorder="1" applyAlignment="1">
      <alignment wrapText="1"/>
    </xf>
    <xf numFmtId="0" fontId="0" fillId="5" borderId="1" xfId="0" applyFill="1" applyBorder="1"/>
    <xf numFmtId="0" fontId="1" fillId="2" borderId="0" xfId="0" applyFont="1" applyFill="1" applyAlignment="1">
      <alignment horizontal="left" vertical="center"/>
    </xf>
    <xf numFmtId="0" fontId="6" fillId="5"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0</xdr:colOff>
      <xdr:row>0</xdr:row>
      <xdr:rowOff>0</xdr:rowOff>
    </xdr:from>
    <xdr:ext cx="1905000" cy="142875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6</xdr:col>
      <xdr:colOff>0</xdr:colOff>
      <xdr:row>0</xdr:row>
      <xdr:rowOff>0</xdr:rowOff>
    </xdr:from>
    <xdr:ext cx="1905000" cy="1428750"/>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6</xdr:col>
      <xdr:colOff>0</xdr:colOff>
      <xdr:row>0</xdr:row>
      <xdr:rowOff>0</xdr:rowOff>
    </xdr:from>
    <xdr:ext cx="1905000" cy="1428750"/>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6</xdr:col>
      <xdr:colOff>0</xdr:colOff>
      <xdr:row>0</xdr:row>
      <xdr:rowOff>0</xdr:rowOff>
    </xdr:from>
    <xdr:ext cx="1905000" cy="14287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6</xdr:col>
      <xdr:colOff>0</xdr:colOff>
      <xdr:row>0</xdr:row>
      <xdr:rowOff>0</xdr:rowOff>
    </xdr:from>
    <xdr:ext cx="1905000" cy="1428750"/>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6</xdr:col>
      <xdr:colOff>0</xdr:colOff>
      <xdr:row>0</xdr:row>
      <xdr:rowOff>0</xdr:rowOff>
    </xdr:from>
    <xdr:ext cx="1905000" cy="1428750"/>
    <xdr:pic>
      <xdr:nvPicPr>
        <xdr:cNvPr id="2" name="Image 1" descr="Picture">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6</xdr:col>
      <xdr:colOff>0</xdr:colOff>
      <xdr:row>0</xdr:row>
      <xdr:rowOff>0</xdr:rowOff>
    </xdr:from>
    <xdr:ext cx="1905000" cy="1428750"/>
    <xdr:pic>
      <xdr:nvPicPr>
        <xdr:cNvPr id="2" name="Image 1" descr="Picture">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tabSelected="1" workbookViewId="0">
      <pane ySplit="4" topLeftCell="A5" activePane="bottomLeft" state="frozen"/>
      <selection pane="bottomLeft"/>
    </sheetView>
  </sheetViews>
  <sheetFormatPr defaultRowHeight="14.4" x14ac:dyDescent="0.3"/>
  <cols>
    <col min="1" max="1" width="18" customWidth="1"/>
    <col min="2" max="2" width="24" customWidth="1"/>
    <col min="3" max="8" width="18" customWidth="1"/>
  </cols>
  <sheetData>
    <row r="1" spans="1:8" ht="28.05" customHeight="1" x14ac:dyDescent="0.3">
      <c r="A1" s="27" t="s">
        <v>0</v>
      </c>
      <c r="B1" s="23"/>
      <c r="C1" s="23"/>
      <c r="D1" s="23"/>
      <c r="E1" s="23"/>
      <c r="F1" s="23"/>
      <c r="G1" s="23"/>
      <c r="H1" s="23"/>
    </row>
    <row r="2" spans="1:8" ht="18" customHeight="1" x14ac:dyDescent="0.3">
      <c r="A2" s="24" t="s">
        <v>1</v>
      </c>
      <c r="B2" s="23"/>
      <c r="C2" s="23"/>
      <c r="D2" s="23"/>
      <c r="E2" s="23"/>
      <c r="F2" s="23"/>
      <c r="G2" s="23"/>
      <c r="H2" s="23"/>
    </row>
    <row r="4" spans="1:8" ht="19.95" customHeight="1" x14ac:dyDescent="0.3">
      <c r="A4" s="22" t="s">
        <v>2</v>
      </c>
      <c r="B4" s="23"/>
      <c r="C4" s="23"/>
      <c r="D4" s="23"/>
      <c r="E4" s="23"/>
      <c r="F4" s="23"/>
      <c r="G4" s="23"/>
      <c r="H4" s="23"/>
    </row>
    <row r="5" spans="1:8" x14ac:dyDescent="0.3">
      <c r="A5" s="1" t="s">
        <v>3</v>
      </c>
      <c r="B5" s="2" t="s">
        <v>4</v>
      </c>
    </row>
    <row r="7" spans="1:8" ht="15.6" x14ac:dyDescent="0.3">
      <c r="A7" s="3" t="s">
        <v>5</v>
      </c>
    </row>
    <row r="8" spans="1:8" x14ac:dyDescent="0.3">
      <c r="A8" s="4" t="s">
        <v>6</v>
      </c>
    </row>
    <row r="9" spans="1:8" x14ac:dyDescent="0.3">
      <c r="A9" s="4" t="s">
        <v>7</v>
      </c>
    </row>
    <row r="10" spans="1:8" x14ac:dyDescent="0.3">
      <c r="A10" s="4" t="s">
        <v>8</v>
      </c>
    </row>
    <row r="11" spans="1:8" x14ac:dyDescent="0.3">
      <c r="A11" s="4" t="s">
        <v>9</v>
      </c>
    </row>
    <row r="13" spans="1:8" ht="19.95" customHeight="1" x14ac:dyDescent="0.3">
      <c r="A13" s="22" t="s">
        <v>10</v>
      </c>
      <c r="B13" s="23"/>
      <c r="C13" s="23"/>
      <c r="D13" s="23"/>
      <c r="E13" s="23"/>
      <c r="F13" s="23"/>
      <c r="G13" s="23"/>
      <c r="H13" s="23"/>
    </row>
    <row r="14" spans="1:8" x14ac:dyDescent="0.3">
      <c r="A14" s="4" t="s">
        <v>11</v>
      </c>
    </row>
    <row r="15" spans="1:8" x14ac:dyDescent="0.3">
      <c r="A15" s="4" t="s">
        <v>12</v>
      </c>
    </row>
    <row r="16" spans="1:8" x14ac:dyDescent="0.3">
      <c r="A16" s="4" t="s">
        <v>13</v>
      </c>
    </row>
    <row r="18" spans="1:8" ht="19.95" customHeight="1" x14ac:dyDescent="0.3">
      <c r="A18" s="22" t="s">
        <v>14</v>
      </c>
      <c r="B18" s="23"/>
      <c r="C18" s="23"/>
      <c r="D18" s="23"/>
      <c r="E18" s="23"/>
      <c r="F18" s="23"/>
      <c r="G18" s="23"/>
      <c r="H18" s="23"/>
    </row>
    <row r="19" spans="1:8" x14ac:dyDescent="0.3">
      <c r="A19" s="25" t="s">
        <v>15</v>
      </c>
      <c r="B19" s="26"/>
      <c r="C19" s="26"/>
      <c r="D19" s="26"/>
      <c r="E19" s="26"/>
      <c r="F19" s="26"/>
      <c r="G19" s="26"/>
      <c r="H19" s="26"/>
    </row>
    <row r="20" spans="1:8" x14ac:dyDescent="0.3">
      <c r="A20" s="26"/>
      <c r="B20" s="26"/>
      <c r="C20" s="26"/>
      <c r="D20" s="26"/>
      <c r="E20" s="26"/>
      <c r="F20" s="26"/>
      <c r="G20" s="26"/>
      <c r="H20" s="26"/>
    </row>
  </sheetData>
  <mergeCells count="6">
    <mergeCell ref="A1:H1"/>
    <mergeCell ref="A18:H18"/>
    <mergeCell ref="A4:H4"/>
    <mergeCell ref="A2:H2"/>
    <mergeCell ref="A13:H13"/>
    <mergeCell ref="A19:H20"/>
  </mergeCells>
  <dataValidations count="1">
    <dataValidation type="list" sqref="B5" xr:uid="{00000000-0002-0000-0000-000000000000}">
      <formula1>"US,CAN,AUS,UK"</formula1>
    </dataValidation>
  </dataValidation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9"/>
  <sheetViews>
    <sheetView workbookViewId="0">
      <pane ySplit="7" topLeftCell="A8" activePane="bottomLeft" state="frozen"/>
      <selection pane="bottomLeft"/>
    </sheetView>
  </sheetViews>
  <sheetFormatPr defaultRowHeight="14.4" x14ac:dyDescent="0.3"/>
  <cols>
    <col min="1" max="1" width="24" customWidth="1"/>
    <col min="2" max="8" width="18" customWidth="1"/>
  </cols>
  <sheetData>
    <row r="1" spans="1:8" ht="28.05" customHeight="1" x14ac:dyDescent="0.3">
      <c r="A1" s="27" t="s">
        <v>16</v>
      </c>
      <c r="B1" s="23"/>
      <c r="C1" s="23"/>
      <c r="D1" s="23"/>
      <c r="E1" s="23"/>
      <c r="F1" s="23"/>
      <c r="G1" s="23"/>
      <c r="H1" s="23"/>
    </row>
    <row r="2" spans="1:8" ht="18" customHeight="1" x14ac:dyDescent="0.3">
      <c r="A2" s="24" t="s">
        <v>17</v>
      </c>
      <c r="B2" s="23"/>
      <c r="C2" s="23"/>
      <c r="D2" s="23"/>
      <c r="E2" s="23"/>
      <c r="F2" s="23"/>
      <c r="G2" s="23"/>
      <c r="H2" s="23"/>
    </row>
    <row r="4" spans="1:8" ht="19.95" customHeight="1" x14ac:dyDescent="0.3">
      <c r="A4" s="22" t="s">
        <v>18</v>
      </c>
      <c r="B4" s="23"/>
      <c r="C4" s="23"/>
      <c r="D4" s="23"/>
      <c r="E4" s="23"/>
      <c r="F4" s="23"/>
      <c r="G4" s="23"/>
      <c r="H4" s="23"/>
    </row>
    <row r="5" spans="1:8" x14ac:dyDescent="0.3">
      <c r="A5" s="1" t="s">
        <v>3</v>
      </c>
      <c r="B5" s="5" t="str">
        <f>'Start Here'!B5</f>
        <v>US</v>
      </c>
    </row>
    <row r="7" spans="1:8" ht="19.95" customHeight="1" x14ac:dyDescent="0.3">
      <c r="A7" s="22" t="s">
        <v>19</v>
      </c>
      <c r="B7" s="23"/>
      <c r="C7" s="23"/>
      <c r="D7" s="23"/>
      <c r="E7" s="23"/>
      <c r="F7" s="23"/>
      <c r="G7" s="23"/>
      <c r="H7" s="23"/>
    </row>
    <row r="8" spans="1:8" x14ac:dyDescent="0.3">
      <c r="A8" s="1" t="s">
        <v>20</v>
      </c>
      <c r="B8" s="6">
        <f ca="1">INDIRECT(B5&amp;"!G6")</f>
        <v>0</v>
      </c>
    </row>
    <row r="9" spans="1:8" x14ac:dyDescent="0.3">
      <c r="A9" s="1" t="s">
        <v>21</v>
      </c>
      <c r="B9" s="6">
        <f ca="1">INDIRECT(B5&amp;"!G7")</f>
        <v>0</v>
      </c>
    </row>
    <row r="10" spans="1:8" x14ac:dyDescent="0.3">
      <c r="A10" s="1" t="s">
        <v>22</v>
      </c>
      <c r="B10" s="6">
        <f ca="1">INDIRECT(B5&amp;"!G8")</f>
        <v>0</v>
      </c>
    </row>
    <row r="11" spans="1:8" x14ac:dyDescent="0.3">
      <c r="A11" s="1" t="s">
        <v>23</v>
      </c>
      <c r="B11" s="7">
        <f ca="1">INDIRECT(B5&amp;"!G9")</f>
        <v>90</v>
      </c>
    </row>
    <row r="12" spans="1:8" x14ac:dyDescent="0.3">
      <c r="A12" s="1" t="s">
        <v>24</v>
      </c>
      <c r="B12" s="7">
        <f ca="1">INDIRECT(B5&amp;"!G10")</f>
        <v>5</v>
      </c>
    </row>
    <row r="14" spans="1:8" ht="19.95" customHeight="1" x14ac:dyDescent="0.3">
      <c r="A14" s="22" t="s">
        <v>25</v>
      </c>
      <c r="B14" s="23"/>
      <c r="C14" s="23"/>
      <c r="D14" s="23"/>
      <c r="E14" s="23"/>
      <c r="F14" s="23"/>
      <c r="G14" s="23"/>
      <c r="H14" s="23"/>
    </row>
    <row r="15" spans="1:8" x14ac:dyDescent="0.3">
      <c r="A15" s="28" t="s">
        <v>26</v>
      </c>
      <c r="B15" s="26"/>
      <c r="C15" s="26"/>
      <c r="D15" s="26"/>
      <c r="E15" s="26"/>
      <c r="F15" s="26"/>
      <c r="G15" s="26"/>
      <c r="H15" s="26"/>
    </row>
    <row r="16" spans="1:8" x14ac:dyDescent="0.3">
      <c r="A16" s="26"/>
      <c r="B16" s="26"/>
      <c r="C16" s="26"/>
      <c r="D16" s="26"/>
      <c r="E16" s="26"/>
      <c r="F16" s="26"/>
      <c r="G16" s="26"/>
      <c r="H16" s="26"/>
    </row>
    <row r="17" spans="1:8" x14ac:dyDescent="0.3">
      <c r="A17" s="26"/>
      <c r="B17" s="26"/>
      <c r="C17" s="26"/>
      <c r="D17" s="26"/>
      <c r="E17" s="26"/>
      <c r="F17" s="26"/>
      <c r="G17" s="26"/>
      <c r="H17" s="26"/>
    </row>
    <row r="18" spans="1:8" x14ac:dyDescent="0.3">
      <c r="A18" s="26"/>
      <c r="B18" s="26"/>
      <c r="C18" s="26"/>
      <c r="D18" s="26"/>
      <c r="E18" s="26"/>
      <c r="F18" s="26"/>
      <c r="G18" s="26"/>
      <c r="H18" s="26"/>
    </row>
    <row r="19" spans="1:8" x14ac:dyDescent="0.3">
      <c r="A19" s="26"/>
      <c r="B19" s="26"/>
      <c r="C19" s="26"/>
      <c r="D19" s="26"/>
      <c r="E19" s="26"/>
      <c r="F19" s="26"/>
      <c r="G19" s="26"/>
      <c r="H19" s="26"/>
    </row>
  </sheetData>
  <mergeCells count="6">
    <mergeCell ref="A1:H1"/>
    <mergeCell ref="A4:H4"/>
    <mergeCell ref="A15:H19"/>
    <mergeCell ref="A7:H7"/>
    <mergeCell ref="A2:H2"/>
    <mergeCell ref="A14:H14"/>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
  <sheetViews>
    <sheetView workbookViewId="0">
      <pane ySplit="4" topLeftCell="A5" activePane="bottomLeft" state="frozen"/>
      <selection pane="bottomLeft"/>
    </sheetView>
  </sheetViews>
  <sheetFormatPr defaultRowHeight="14.4" x14ac:dyDescent="0.3"/>
  <cols>
    <col min="1" max="4" width="24" customWidth="1"/>
    <col min="5" max="8" width="18" customWidth="1"/>
  </cols>
  <sheetData>
    <row r="1" spans="1:8" ht="28.05" customHeight="1" x14ac:dyDescent="0.3">
      <c r="A1" s="27" t="s">
        <v>27</v>
      </c>
      <c r="B1" s="23"/>
      <c r="C1" s="23"/>
      <c r="D1" s="23"/>
      <c r="E1" s="23"/>
      <c r="F1" s="23"/>
      <c r="G1" s="23"/>
      <c r="H1" s="23"/>
    </row>
    <row r="2" spans="1:8" ht="18" customHeight="1" x14ac:dyDescent="0.3">
      <c r="A2" s="24" t="s">
        <v>28</v>
      </c>
      <c r="B2" s="23"/>
      <c r="C2" s="23"/>
      <c r="D2" s="23"/>
      <c r="E2" s="23"/>
      <c r="F2" s="23"/>
      <c r="G2" s="23"/>
      <c r="H2" s="23"/>
    </row>
    <row r="4" spans="1:8" ht="19.95" customHeight="1" x14ac:dyDescent="0.3">
      <c r="A4" s="22" t="s">
        <v>29</v>
      </c>
      <c r="B4" s="23"/>
      <c r="C4" s="23"/>
      <c r="D4" s="23"/>
      <c r="E4" s="23"/>
      <c r="F4" s="23"/>
      <c r="G4" s="23"/>
      <c r="H4" s="23"/>
    </row>
    <row r="5" spans="1:8" x14ac:dyDescent="0.3">
      <c r="A5" s="28" t="s">
        <v>30</v>
      </c>
      <c r="B5" s="26"/>
      <c r="C5" s="26"/>
      <c r="D5" s="26"/>
      <c r="E5" s="26"/>
      <c r="F5" s="26"/>
      <c r="G5" s="26"/>
      <c r="H5" s="26"/>
    </row>
    <row r="6" spans="1:8" x14ac:dyDescent="0.3">
      <c r="A6" s="26"/>
      <c r="B6" s="26"/>
      <c r="C6" s="26"/>
      <c r="D6" s="26"/>
      <c r="E6" s="26"/>
      <c r="F6" s="26"/>
      <c r="G6" s="26"/>
      <c r="H6" s="26"/>
    </row>
    <row r="7" spans="1:8" x14ac:dyDescent="0.3">
      <c r="A7" s="26"/>
      <c r="B7" s="26"/>
      <c r="C7" s="26"/>
      <c r="D7" s="26"/>
      <c r="E7" s="26"/>
      <c r="F7" s="26"/>
      <c r="G7" s="26"/>
      <c r="H7" s="26"/>
    </row>
    <row r="8" spans="1:8" x14ac:dyDescent="0.3">
      <c r="A8" s="26"/>
      <c r="B8" s="26"/>
      <c r="C8" s="26"/>
      <c r="D8" s="26"/>
      <c r="E8" s="26"/>
      <c r="F8" s="26"/>
      <c r="G8" s="26"/>
      <c r="H8" s="26"/>
    </row>
    <row r="9" spans="1:8" x14ac:dyDescent="0.3">
      <c r="A9" s="26"/>
      <c r="B9" s="26"/>
      <c r="C9" s="26"/>
      <c r="D9" s="26"/>
      <c r="E9" s="26"/>
      <c r="F9" s="26"/>
      <c r="G9" s="26"/>
      <c r="H9" s="26"/>
    </row>
    <row r="10" spans="1:8" x14ac:dyDescent="0.3">
      <c r="A10" s="26"/>
      <c r="B10" s="26"/>
      <c r="C10" s="26"/>
      <c r="D10" s="26"/>
      <c r="E10" s="26"/>
      <c r="F10" s="26"/>
      <c r="G10" s="26"/>
      <c r="H10" s="26"/>
    </row>
    <row r="12" spans="1:8" ht="19.95" customHeight="1" x14ac:dyDescent="0.3">
      <c r="A12" s="22" t="s">
        <v>31</v>
      </c>
      <c r="B12" s="23"/>
      <c r="C12" s="23"/>
      <c r="D12" s="23"/>
      <c r="E12" s="23"/>
      <c r="F12" s="23"/>
      <c r="G12" s="23"/>
      <c r="H12" s="23"/>
    </row>
    <row r="13" spans="1:8" x14ac:dyDescent="0.3">
      <c r="A13" s="28" t="s">
        <v>32</v>
      </c>
      <c r="B13" s="26"/>
      <c r="C13" s="26"/>
      <c r="D13" s="26"/>
      <c r="E13" s="26"/>
      <c r="F13" s="26"/>
      <c r="G13" s="26"/>
      <c r="H13" s="26"/>
    </row>
    <row r="14" spans="1:8" x14ac:dyDescent="0.3">
      <c r="A14" s="26"/>
      <c r="B14" s="26"/>
      <c r="C14" s="26"/>
      <c r="D14" s="26"/>
      <c r="E14" s="26"/>
      <c r="F14" s="26"/>
      <c r="G14" s="26"/>
      <c r="H14" s="26"/>
    </row>
    <row r="15" spans="1:8" x14ac:dyDescent="0.3">
      <c r="A15" s="26"/>
      <c r="B15" s="26"/>
      <c r="C15" s="26"/>
      <c r="D15" s="26"/>
      <c r="E15" s="26"/>
      <c r="F15" s="26"/>
      <c r="G15" s="26"/>
      <c r="H15" s="26"/>
    </row>
    <row r="16" spans="1:8" x14ac:dyDescent="0.3">
      <c r="A16" s="26"/>
      <c r="B16" s="26"/>
      <c r="C16" s="26"/>
      <c r="D16" s="26"/>
      <c r="E16" s="26"/>
      <c r="F16" s="26"/>
      <c r="G16" s="26"/>
      <c r="H16" s="26"/>
    </row>
    <row r="17" spans="1:8" x14ac:dyDescent="0.3">
      <c r="A17" s="26"/>
      <c r="B17" s="26"/>
      <c r="C17" s="26"/>
      <c r="D17" s="26"/>
      <c r="E17" s="26"/>
      <c r="F17" s="26"/>
      <c r="G17" s="26"/>
      <c r="H17" s="26"/>
    </row>
    <row r="18" spans="1:8" x14ac:dyDescent="0.3">
      <c r="A18" s="26"/>
      <c r="B18" s="26"/>
      <c r="C18" s="26"/>
      <c r="D18" s="26"/>
      <c r="E18" s="26"/>
      <c r="F18" s="26"/>
      <c r="G18" s="26"/>
      <c r="H18" s="26"/>
    </row>
  </sheetData>
  <mergeCells count="6">
    <mergeCell ref="A1:H1"/>
    <mergeCell ref="A12:H12"/>
    <mergeCell ref="A4:H4"/>
    <mergeCell ref="A13:H18"/>
    <mergeCell ref="A2:H2"/>
    <mergeCell ref="A5:H10"/>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3"/>
  <sheetViews>
    <sheetView workbookViewId="0">
      <pane ySplit="4" topLeftCell="A5" activePane="bottomLeft" state="frozen"/>
      <selection pane="bottomLeft"/>
    </sheetView>
  </sheetViews>
  <sheetFormatPr defaultRowHeight="14.4" x14ac:dyDescent="0.3"/>
  <cols>
    <col min="1" max="1" width="26" customWidth="1"/>
    <col min="2" max="5" width="18" customWidth="1"/>
    <col min="6" max="6" width="14" customWidth="1"/>
    <col min="7" max="7" width="16" customWidth="1"/>
    <col min="8" max="8" width="2" customWidth="1"/>
  </cols>
  <sheetData>
    <row r="1" spans="1:8" ht="28.05" customHeight="1" x14ac:dyDescent="0.3">
      <c r="A1" s="27" t="s">
        <v>33</v>
      </c>
      <c r="B1" s="23"/>
      <c r="C1" s="23"/>
      <c r="D1" s="23"/>
      <c r="E1" s="23"/>
      <c r="F1" s="23"/>
      <c r="G1" s="23"/>
      <c r="H1" s="23"/>
    </row>
    <row r="2" spans="1:8" ht="18" customHeight="1" x14ac:dyDescent="0.3">
      <c r="A2" s="24" t="s">
        <v>34</v>
      </c>
      <c r="B2" s="23"/>
      <c r="C2" s="23"/>
      <c r="D2" s="23"/>
      <c r="E2" s="23"/>
      <c r="F2" s="23"/>
      <c r="G2" s="23"/>
      <c r="H2" s="23"/>
    </row>
    <row r="4" spans="1:8" ht="19.95" customHeight="1" x14ac:dyDescent="0.3">
      <c r="A4" s="22" t="s">
        <v>35</v>
      </c>
      <c r="B4" s="23"/>
      <c r="C4" s="23"/>
      <c r="D4" s="23"/>
      <c r="E4" s="23"/>
      <c r="F4" s="23"/>
      <c r="G4" s="23"/>
      <c r="H4" s="23"/>
    </row>
    <row r="5" spans="1:8" x14ac:dyDescent="0.3">
      <c r="A5" s="8" t="s">
        <v>36</v>
      </c>
      <c r="B5" s="9">
        <v>0</v>
      </c>
      <c r="C5" s="10" t="s">
        <v>37</v>
      </c>
      <c r="F5" s="11" t="s">
        <v>38</v>
      </c>
    </row>
    <row r="6" spans="1:8" x14ac:dyDescent="0.3">
      <c r="A6" s="8" t="s">
        <v>39</v>
      </c>
      <c r="B6" s="12">
        <v>0.3</v>
      </c>
      <c r="C6" s="10" t="s">
        <v>40</v>
      </c>
      <c r="F6" s="13" t="s">
        <v>41</v>
      </c>
      <c r="G6" s="14">
        <f>B22</f>
        <v>0</v>
      </c>
    </row>
    <row r="7" spans="1:8" x14ac:dyDescent="0.3">
      <c r="A7" s="8" t="s">
        <v>42</v>
      </c>
      <c r="B7" s="12">
        <v>0.6</v>
      </c>
      <c r="C7" s="10" t="s">
        <v>40</v>
      </c>
      <c r="F7" s="13" t="s">
        <v>43</v>
      </c>
      <c r="G7" s="14">
        <f>B10</f>
        <v>0</v>
      </c>
    </row>
    <row r="8" spans="1:8" x14ac:dyDescent="0.3">
      <c r="A8" s="8" t="s">
        <v>44</v>
      </c>
      <c r="B8" s="15">
        <v>90</v>
      </c>
      <c r="C8" s="10" t="s">
        <v>45</v>
      </c>
      <c r="F8" s="13" t="s">
        <v>46</v>
      </c>
      <c r="G8" s="14">
        <f>B23</f>
        <v>0</v>
      </c>
    </row>
    <row r="9" spans="1:8" x14ac:dyDescent="0.3">
      <c r="A9" s="8" t="s">
        <v>47</v>
      </c>
      <c r="B9" s="15">
        <v>5</v>
      </c>
      <c r="C9" s="10" t="s">
        <v>48</v>
      </c>
      <c r="F9" s="13" t="s">
        <v>49</v>
      </c>
      <c r="G9" s="16">
        <f>B8</f>
        <v>90</v>
      </c>
    </row>
    <row r="10" spans="1:8" x14ac:dyDescent="0.3">
      <c r="A10" s="8" t="s">
        <v>50</v>
      </c>
      <c r="B10" s="9">
        <v>0</v>
      </c>
      <c r="C10" s="10" t="s">
        <v>51</v>
      </c>
      <c r="F10" s="13" t="s">
        <v>52</v>
      </c>
      <c r="G10" s="16">
        <f>B9</f>
        <v>5</v>
      </c>
    </row>
    <row r="11" spans="1:8" x14ac:dyDescent="0.3">
      <c r="A11" s="8" t="s">
        <v>53</v>
      </c>
      <c r="B11" s="9">
        <v>0</v>
      </c>
      <c r="C11" s="10" t="s">
        <v>37</v>
      </c>
    </row>
    <row r="12" spans="1:8" x14ac:dyDescent="0.3">
      <c r="A12" s="8" t="s">
        <v>54</v>
      </c>
      <c r="B12" s="9">
        <v>0</v>
      </c>
      <c r="C12" s="10" t="s">
        <v>51</v>
      </c>
    </row>
    <row r="14" spans="1:8" ht="19.95" customHeight="1" x14ac:dyDescent="0.3">
      <c r="A14" s="22" t="s">
        <v>55</v>
      </c>
      <c r="B14" s="23"/>
      <c r="C14" s="23"/>
      <c r="D14" s="23"/>
      <c r="E14" s="23"/>
      <c r="F14" s="23"/>
      <c r="G14" s="23"/>
      <c r="H14" s="23"/>
    </row>
    <row r="15" spans="1:8" x14ac:dyDescent="0.3">
      <c r="A15" s="1" t="s">
        <v>56</v>
      </c>
      <c r="B15" s="2" t="s">
        <v>57</v>
      </c>
    </row>
    <row r="16" spans="1:8" x14ac:dyDescent="0.3">
      <c r="A16" s="1" t="s">
        <v>58</v>
      </c>
      <c r="B16" s="2" t="s">
        <v>59</v>
      </c>
    </row>
    <row r="17" spans="1:8" x14ac:dyDescent="0.3">
      <c r="A17" s="1" t="s">
        <v>60</v>
      </c>
      <c r="B17" s="12">
        <v>0.02</v>
      </c>
    </row>
    <row r="19" spans="1:8" ht="19.95" customHeight="1" x14ac:dyDescent="0.3">
      <c r="A19" s="22" t="s">
        <v>61</v>
      </c>
      <c r="B19" s="23"/>
      <c r="C19" s="23"/>
      <c r="D19" s="23"/>
      <c r="E19" s="23"/>
      <c r="F19" s="23"/>
      <c r="G19" s="23"/>
      <c r="H19" s="23"/>
    </row>
    <row r="20" spans="1:8" x14ac:dyDescent="0.3">
      <c r="A20" s="1" t="s">
        <v>62</v>
      </c>
      <c r="B20" s="17">
        <f>IF(B6&gt;0,B5*(1-B6),"")</f>
        <v>0</v>
      </c>
    </row>
    <row r="21" spans="1:8" x14ac:dyDescent="0.3">
      <c r="A21" s="1" t="s">
        <v>63</v>
      </c>
      <c r="B21" s="17">
        <f>B5*B7</f>
        <v>0</v>
      </c>
    </row>
    <row r="22" spans="1:8" x14ac:dyDescent="0.3">
      <c r="A22" s="1" t="s">
        <v>20</v>
      </c>
      <c r="B22" s="17">
        <f>B21/12</f>
        <v>0</v>
      </c>
    </row>
    <row r="23" spans="1:8" x14ac:dyDescent="0.3">
      <c r="A23" s="1" t="s">
        <v>64</v>
      </c>
      <c r="B23" s="17">
        <f>MAX(0,B22-B10)</f>
        <v>0</v>
      </c>
    </row>
    <row r="24" spans="1:8" x14ac:dyDescent="0.3">
      <c r="A24" s="1" t="s">
        <v>65</v>
      </c>
      <c r="B24" s="18" t="str">
        <f>IF(B13&gt;0,IF(B23&gt;0,B12/B23,""), IF(B12&gt;0,IF(B12&gt;0,B12/B12,""), ""))</f>
        <v/>
      </c>
    </row>
    <row r="25" spans="1:8" x14ac:dyDescent="0.3">
      <c r="A25" s="1" t="s">
        <v>66</v>
      </c>
      <c r="B25" s="17" t="str">
        <f>IF(B13&gt;0,B13*(B8/30),"")</f>
        <v/>
      </c>
    </row>
    <row r="26" spans="1:8" x14ac:dyDescent="0.3">
      <c r="A26" s="1" t="s">
        <v>67</v>
      </c>
      <c r="B26" s="17">
        <f>B22</f>
        <v>0</v>
      </c>
    </row>
    <row r="28" spans="1:8" ht="19.95" customHeight="1" x14ac:dyDescent="0.3">
      <c r="A28" s="22" t="s">
        <v>68</v>
      </c>
      <c r="B28" s="23"/>
      <c r="C28" s="23"/>
      <c r="D28" s="23"/>
      <c r="E28" s="23"/>
      <c r="F28" s="23"/>
      <c r="G28" s="23"/>
      <c r="H28" s="23"/>
    </row>
    <row r="29" spans="1:8" x14ac:dyDescent="0.3">
      <c r="A29" s="28" t="s">
        <v>69</v>
      </c>
      <c r="B29" s="26"/>
      <c r="C29" s="26"/>
      <c r="D29" s="26"/>
      <c r="E29" s="26"/>
      <c r="F29" s="26"/>
      <c r="G29" s="26"/>
      <c r="H29" s="26"/>
    </row>
    <row r="30" spans="1:8" x14ac:dyDescent="0.3">
      <c r="A30" s="26"/>
      <c r="B30" s="26"/>
      <c r="C30" s="26"/>
      <c r="D30" s="26"/>
      <c r="E30" s="26"/>
      <c r="F30" s="26"/>
      <c r="G30" s="26"/>
      <c r="H30" s="26"/>
    </row>
    <row r="31" spans="1:8" x14ac:dyDescent="0.3">
      <c r="A31" s="26"/>
      <c r="B31" s="26"/>
      <c r="C31" s="26"/>
      <c r="D31" s="26"/>
      <c r="E31" s="26"/>
      <c r="F31" s="26"/>
      <c r="G31" s="26"/>
      <c r="H31" s="26"/>
    </row>
    <row r="32" spans="1:8" x14ac:dyDescent="0.3">
      <c r="A32" s="26"/>
      <c r="B32" s="26"/>
      <c r="C32" s="26"/>
      <c r="D32" s="26"/>
      <c r="E32" s="26"/>
      <c r="F32" s="26"/>
      <c r="G32" s="26"/>
      <c r="H32" s="26"/>
    </row>
    <row r="33" spans="1:8" x14ac:dyDescent="0.3">
      <c r="A33" s="26"/>
      <c r="B33" s="26"/>
      <c r="C33" s="26"/>
      <c r="D33" s="26"/>
      <c r="E33" s="26"/>
      <c r="F33" s="26"/>
      <c r="G33" s="26"/>
      <c r="H33" s="26"/>
    </row>
  </sheetData>
  <mergeCells count="7">
    <mergeCell ref="A1:H1"/>
    <mergeCell ref="A4:H4"/>
    <mergeCell ref="A29:H33"/>
    <mergeCell ref="A2:H2"/>
    <mergeCell ref="A28:H28"/>
    <mergeCell ref="A19:H19"/>
    <mergeCell ref="A14:H14"/>
  </mergeCells>
  <dataValidations count="2">
    <dataValidation type="list" sqref="B15" xr:uid="{00000000-0002-0000-0300-000000000000}">
      <formula1>"Yes,No,Depends"</formula1>
    </dataValidation>
    <dataValidation type="list" sqref="B16" xr:uid="{00000000-0002-0000-0300-000001000000}">
      <formula1>"No,Yes"</formula1>
    </dataValidation>
  </dataValidation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3"/>
  <sheetViews>
    <sheetView workbookViewId="0">
      <pane ySplit="4" topLeftCell="A5" activePane="bottomLeft" state="frozen"/>
      <selection pane="bottomLeft"/>
    </sheetView>
  </sheetViews>
  <sheetFormatPr defaultRowHeight="14.4" x14ac:dyDescent="0.3"/>
  <cols>
    <col min="1" max="1" width="26" customWidth="1"/>
    <col min="2" max="5" width="18" customWidth="1"/>
    <col min="6" max="6" width="14" customWidth="1"/>
    <col min="7" max="7" width="16" customWidth="1"/>
    <col min="8" max="8" width="2" customWidth="1"/>
  </cols>
  <sheetData>
    <row r="1" spans="1:8" ht="28.05" customHeight="1" x14ac:dyDescent="0.3">
      <c r="A1" s="27" t="s">
        <v>70</v>
      </c>
      <c r="B1" s="23"/>
      <c r="C1" s="23"/>
      <c r="D1" s="23"/>
      <c r="E1" s="23"/>
      <c r="F1" s="23"/>
      <c r="G1" s="23"/>
      <c r="H1" s="23"/>
    </row>
    <row r="2" spans="1:8" ht="18" customHeight="1" x14ac:dyDescent="0.3">
      <c r="A2" s="24" t="s">
        <v>34</v>
      </c>
      <c r="B2" s="23"/>
      <c r="C2" s="23"/>
      <c r="D2" s="23"/>
      <c r="E2" s="23"/>
      <c r="F2" s="23"/>
      <c r="G2" s="23"/>
      <c r="H2" s="23"/>
    </row>
    <row r="4" spans="1:8" ht="19.95" customHeight="1" x14ac:dyDescent="0.3">
      <c r="A4" s="22" t="s">
        <v>35</v>
      </c>
      <c r="B4" s="23"/>
      <c r="C4" s="23"/>
      <c r="D4" s="23"/>
      <c r="E4" s="23"/>
      <c r="F4" s="23"/>
      <c r="G4" s="23"/>
      <c r="H4" s="23"/>
    </row>
    <row r="5" spans="1:8" x14ac:dyDescent="0.3">
      <c r="A5" s="8" t="s">
        <v>36</v>
      </c>
      <c r="B5" s="9">
        <v>0</v>
      </c>
      <c r="C5" s="10" t="s">
        <v>37</v>
      </c>
      <c r="F5" s="11" t="s">
        <v>38</v>
      </c>
    </row>
    <row r="6" spans="1:8" x14ac:dyDescent="0.3">
      <c r="A6" s="8" t="s">
        <v>39</v>
      </c>
      <c r="B6" s="12">
        <v>0.3</v>
      </c>
      <c r="C6" s="10" t="s">
        <v>40</v>
      </c>
      <c r="F6" s="13" t="s">
        <v>41</v>
      </c>
      <c r="G6" s="14">
        <f>B22</f>
        <v>0</v>
      </c>
    </row>
    <row r="7" spans="1:8" x14ac:dyDescent="0.3">
      <c r="A7" s="8" t="s">
        <v>42</v>
      </c>
      <c r="B7" s="12">
        <v>0.6</v>
      </c>
      <c r="C7" s="10" t="s">
        <v>40</v>
      </c>
      <c r="F7" s="13" t="s">
        <v>43</v>
      </c>
      <c r="G7" s="14">
        <f>B10</f>
        <v>0</v>
      </c>
    </row>
    <row r="8" spans="1:8" x14ac:dyDescent="0.3">
      <c r="A8" s="8" t="s">
        <v>44</v>
      </c>
      <c r="B8" s="15">
        <v>90</v>
      </c>
      <c r="C8" s="10" t="s">
        <v>45</v>
      </c>
      <c r="F8" s="13" t="s">
        <v>46</v>
      </c>
      <c r="G8" s="14">
        <f>B23</f>
        <v>0</v>
      </c>
    </row>
    <row r="9" spans="1:8" x14ac:dyDescent="0.3">
      <c r="A9" s="8" t="s">
        <v>47</v>
      </c>
      <c r="B9" s="15">
        <v>5</v>
      </c>
      <c r="C9" s="10" t="s">
        <v>48</v>
      </c>
      <c r="F9" s="13" t="s">
        <v>49</v>
      </c>
      <c r="G9" s="16">
        <f>B8</f>
        <v>90</v>
      </c>
    </row>
    <row r="10" spans="1:8" x14ac:dyDescent="0.3">
      <c r="A10" s="8" t="s">
        <v>50</v>
      </c>
      <c r="B10" s="9">
        <v>0</v>
      </c>
      <c r="C10" s="10" t="s">
        <v>51</v>
      </c>
      <c r="F10" s="13" t="s">
        <v>52</v>
      </c>
      <c r="G10" s="16">
        <f>B9</f>
        <v>5</v>
      </c>
    </row>
    <row r="11" spans="1:8" x14ac:dyDescent="0.3">
      <c r="A11" s="8" t="s">
        <v>53</v>
      </c>
      <c r="B11" s="9">
        <v>0</v>
      </c>
      <c r="C11" s="10" t="s">
        <v>37</v>
      </c>
    </row>
    <row r="12" spans="1:8" x14ac:dyDescent="0.3">
      <c r="A12" s="8" t="s">
        <v>54</v>
      </c>
      <c r="B12" s="9">
        <v>0</v>
      </c>
      <c r="C12" s="10" t="s">
        <v>51</v>
      </c>
    </row>
    <row r="14" spans="1:8" ht="19.95" customHeight="1" x14ac:dyDescent="0.3">
      <c r="A14" s="22" t="s">
        <v>55</v>
      </c>
      <c r="B14" s="23"/>
      <c r="C14" s="23"/>
      <c r="D14" s="23"/>
      <c r="E14" s="23"/>
      <c r="F14" s="23"/>
      <c r="G14" s="23"/>
      <c r="H14" s="23"/>
    </row>
    <row r="15" spans="1:8" x14ac:dyDescent="0.3">
      <c r="A15" s="1" t="s">
        <v>56</v>
      </c>
      <c r="B15" s="2" t="s">
        <v>57</v>
      </c>
    </row>
    <row r="16" spans="1:8" x14ac:dyDescent="0.3">
      <c r="A16" s="1" t="s">
        <v>58</v>
      </c>
      <c r="B16" s="2" t="s">
        <v>59</v>
      </c>
    </row>
    <row r="17" spans="1:8" x14ac:dyDescent="0.3">
      <c r="A17" s="1" t="s">
        <v>60</v>
      </c>
      <c r="B17" s="12">
        <v>0.02</v>
      </c>
    </row>
    <row r="19" spans="1:8" ht="19.95" customHeight="1" x14ac:dyDescent="0.3">
      <c r="A19" s="22" t="s">
        <v>61</v>
      </c>
      <c r="B19" s="23"/>
      <c r="C19" s="23"/>
      <c r="D19" s="23"/>
      <c r="E19" s="23"/>
      <c r="F19" s="23"/>
      <c r="G19" s="23"/>
      <c r="H19" s="23"/>
    </row>
    <row r="20" spans="1:8" x14ac:dyDescent="0.3">
      <c r="A20" s="1" t="s">
        <v>62</v>
      </c>
      <c r="B20" s="17">
        <f>IF(B6&gt;0,B5*(1-B6),"")</f>
        <v>0</v>
      </c>
    </row>
    <row r="21" spans="1:8" x14ac:dyDescent="0.3">
      <c r="A21" s="1" t="s">
        <v>63</v>
      </c>
      <c r="B21" s="17">
        <f>B5*B7</f>
        <v>0</v>
      </c>
    </row>
    <row r="22" spans="1:8" x14ac:dyDescent="0.3">
      <c r="A22" s="1" t="s">
        <v>20</v>
      </c>
      <c r="B22" s="17">
        <f>B21/12</f>
        <v>0</v>
      </c>
    </row>
    <row r="23" spans="1:8" x14ac:dyDescent="0.3">
      <c r="A23" s="1" t="s">
        <v>64</v>
      </c>
      <c r="B23" s="17">
        <f>MAX(0,B22-B10)</f>
        <v>0</v>
      </c>
    </row>
    <row r="24" spans="1:8" x14ac:dyDescent="0.3">
      <c r="A24" s="1" t="s">
        <v>65</v>
      </c>
      <c r="B24" s="18" t="str">
        <f>IF(B13&gt;0,IF(B23&gt;0,B12/B23,""), IF(B12&gt;0,IF(B12&gt;0,B12/B12,""), ""))</f>
        <v/>
      </c>
    </row>
    <row r="25" spans="1:8" x14ac:dyDescent="0.3">
      <c r="A25" s="1" t="s">
        <v>66</v>
      </c>
      <c r="B25" s="17" t="str">
        <f>IF(B13&gt;0,B13*(B8/30),"")</f>
        <v/>
      </c>
    </row>
    <row r="26" spans="1:8" x14ac:dyDescent="0.3">
      <c r="A26" s="1" t="s">
        <v>67</v>
      </c>
      <c r="B26" s="17">
        <f>B22</f>
        <v>0</v>
      </c>
    </row>
    <row r="28" spans="1:8" ht="19.95" customHeight="1" x14ac:dyDescent="0.3">
      <c r="A28" s="22" t="s">
        <v>68</v>
      </c>
      <c r="B28" s="23"/>
      <c r="C28" s="23"/>
      <c r="D28" s="23"/>
      <c r="E28" s="23"/>
      <c r="F28" s="23"/>
      <c r="G28" s="23"/>
      <c r="H28" s="23"/>
    </row>
    <row r="29" spans="1:8" x14ac:dyDescent="0.3">
      <c r="A29" s="28" t="s">
        <v>71</v>
      </c>
      <c r="B29" s="26"/>
      <c r="C29" s="26"/>
      <c r="D29" s="26"/>
      <c r="E29" s="26"/>
      <c r="F29" s="26"/>
      <c r="G29" s="26"/>
      <c r="H29" s="26"/>
    </row>
    <row r="30" spans="1:8" x14ac:dyDescent="0.3">
      <c r="A30" s="26"/>
      <c r="B30" s="26"/>
      <c r="C30" s="26"/>
      <c r="D30" s="26"/>
      <c r="E30" s="26"/>
      <c r="F30" s="26"/>
      <c r="G30" s="26"/>
      <c r="H30" s="26"/>
    </row>
    <row r="31" spans="1:8" x14ac:dyDescent="0.3">
      <c r="A31" s="26"/>
      <c r="B31" s="26"/>
      <c r="C31" s="26"/>
      <c r="D31" s="26"/>
      <c r="E31" s="26"/>
      <c r="F31" s="26"/>
      <c r="G31" s="26"/>
      <c r="H31" s="26"/>
    </row>
    <row r="32" spans="1:8" x14ac:dyDescent="0.3">
      <c r="A32" s="26"/>
      <c r="B32" s="26"/>
      <c r="C32" s="26"/>
      <c r="D32" s="26"/>
      <c r="E32" s="26"/>
      <c r="F32" s="26"/>
      <c r="G32" s="26"/>
      <c r="H32" s="26"/>
    </row>
    <row r="33" spans="1:8" x14ac:dyDescent="0.3">
      <c r="A33" s="26"/>
      <c r="B33" s="26"/>
      <c r="C33" s="26"/>
      <c r="D33" s="26"/>
      <c r="E33" s="26"/>
      <c r="F33" s="26"/>
      <c r="G33" s="26"/>
      <c r="H33" s="26"/>
    </row>
  </sheetData>
  <mergeCells count="7">
    <mergeCell ref="A1:H1"/>
    <mergeCell ref="A4:H4"/>
    <mergeCell ref="A29:H33"/>
    <mergeCell ref="A2:H2"/>
    <mergeCell ref="A28:H28"/>
    <mergeCell ref="A19:H19"/>
    <mergeCell ref="A14:H14"/>
  </mergeCells>
  <dataValidations count="2">
    <dataValidation type="list" sqref="B15" xr:uid="{00000000-0002-0000-0400-000000000000}">
      <formula1>"Yes,No,Depends"</formula1>
    </dataValidation>
    <dataValidation type="list" sqref="B16" xr:uid="{00000000-0002-0000-0400-000001000000}">
      <formula1>"No,Yes"</formula1>
    </dataValidation>
  </dataValidation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3"/>
  <sheetViews>
    <sheetView workbookViewId="0">
      <pane ySplit="4" topLeftCell="A5" activePane="bottomLeft" state="frozen"/>
      <selection pane="bottomLeft"/>
    </sheetView>
  </sheetViews>
  <sheetFormatPr defaultRowHeight="14.4" x14ac:dyDescent="0.3"/>
  <cols>
    <col min="1" max="1" width="26" customWidth="1"/>
    <col min="2" max="5" width="18" customWidth="1"/>
    <col min="6" max="6" width="14" customWidth="1"/>
    <col min="7" max="7" width="16" customWidth="1"/>
    <col min="8" max="8" width="2" customWidth="1"/>
  </cols>
  <sheetData>
    <row r="1" spans="1:8" ht="28.05" customHeight="1" x14ac:dyDescent="0.3">
      <c r="A1" s="27" t="s">
        <v>72</v>
      </c>
      <c r="B1" s="23"/>
      <c r="C1" s="23"/>
      <c r="D1" s="23"/>
      <c r="E1" s="23"/>
      <c r="F1" s="23"/>
      <c r="G1" s="23"/>
      <c r="H1" s="23"/>
    </row>
    <row r="2" spans="1:8" ht="18" customHeight="1" x14ac:dyDescent="0.3">
      <c r="A2" s="24" t="s">
        <v>34</v>
      </c>
      <c r="B2" s="23"/>
      <c r="C2" s="23"/>
      <c r="D2" s="23"/>
      <c r="E2" s="23"/>
      <c r="F2" s="23"/>
      <c r="G2" s="23"/>
      <c r="H2" s="23"/>
    </row>
    <row r="4" spans="1:8" ht="19.95" customHeight="1" x14ac:dyDescent="0.3">
      <c r="A4" s="22" t="s">
        <v>35</v>
      </c>
      <c r="B4" s="23"/>
      <c r="C4" s="23"/>
      <c r="D4" s="23"/>
      <c r="E4" s="23"/>
      <c r="F4" s="23"/>
      <c r="G4" s="23"/>
      <c r="H4" s="23"/>
    </row>
    <row r="5" spans="1:8" x14ac:dyDescent="0.3">
      <c r="A5" s="8" t="s">
        <v>36</v>
      </c>
      <c r="B5" s="9">
        <v>0</v>
      </c>
      <c r="C5" s="10" t="s">
        <v>37</v>
      </c>
      <c r="F5" s="11" t="s">
        <v>38</v>
      </c>
    </row>
    <row r="6" spans="1:8" x14ac:dyDescent="0.3">
      <c r="A6" s="8" t="s">
        <v>39</v>
      </c>
      <c r="B6" s="12">
        <v>0.3</v>
      </c>
      <c r="C6" s="10" t="s">
        <v>40</v>
      </c>
      <c r="F6" s="13" t="s">
        <v>41</v>
      </c>
      <c r="G6" s="14">
        <f>B22</f>
        <v>0</v>
      </c>
    </row>
    <row r="7" spans="1:8" x14ac:dyDescent="0.3">
      <c r="A7" s="8" t="s">
        <v>42</v>
      </c>
      <c r="B7" s="12">
        <v>0.6</v>
      </c>
      <c r="C7" s="10" t="s">
        <v>40</v>
      </c>
      <c r="F7" s="13" t="s">
        <v>43</v>
      </c>
      <c r="G7" s="14">
        <f>B10</f>
        <v>0</v>
      </c>
    </row>
    <row r="8" spans="1:8" x14ac:dyDescent="0.3">
      <c r="A8" s="8" t="s">
        <v>44</v>
      </c>
      <c r="B8" s="15">
        <v>90</v>
      </c>
      <c r="C8" s="10" t="s">
        <v>45</v>
      </c>
      <c r="F8" s="13" t="s">
        <v>46</v>
      </c>
      <c r="G8" s="14">
        <f>B23</f>
        <v>0</v>
      </c>
    </row>
    <row r="9" spans="1:8" x14ac:dyDescent="0.3">
      <c r="A9" s="8" t="s">
        <v>47</v>
      </c>
      <c r="B9" s="15">
        <v>5</v>
      </c>
      <c r="C9" s="10" t="s">
        <v>48</v>
      </c>
      <c r="F9" s="13" t="s">
        <v>49</v>
      </c>
      <c r="G9" s="16">
        <f>B8</f>
        <v>90</v>
      </c>
    </row>
    <row r="10" spans="1:8" x14ac:dyDescent="0.3">
      <c r="A10" s="8" t="s">
        <v>50</v>
      </c>
      <c r="B10" s="9">
        <v>0</v>
      </c>
      <c r="C10" s="10" t="s">
        <v>51</v>
      </c>
      <c r="F10" s="13" t="s">
        <v>52</v>
      </c>
      <c r="G10" s="16">
        <f>B9</f>
        <v>5</v>
      </c>
    </row>
    <row r="11" spans="1:8" x14ac:dyDescent="0.3">
      <c r="A11" s="8" t="s">
        <v>53</v>
      </c>
      <c r="B11" s="9">
        <v>0</v>
      </c>
      <c r="C11" s="10" t="s">
        <v>37</v>
      </c>
    </row>
    <row r="12" spans="1:8" x14ac:dyDescent="0.3">
      <c r="A12" s="8" t="s">
        <v>54</v>
      </c>
      <c r="B12" s="9">
        <v>0</v>
      </c>
      <c r="C12" s="10" t="s">
        <v>51</v>
      </c>
    </row>
    <row r="14" spans="1:8" ht="19.95" customHeight="1" x14ac:dyDescent="0.3">
      <c r="A14" s="22" t="s">
        <v>55</v>
      </c>
      <c r="B14" s="23"/>
      <c r="C14" s="23"/>
      <c r="D14" s="23"/>
      <c r="E14" s="23"/>
      <c r="F14" s="23"/>
      <c r="G14" s="23"/>
      <c r="H14" s="23"/>
    </row>
    <row r="15" spans="1:8" x14ac:dyDescent="0.3">
      <c r="A15" s="1" t="s">
        <v>56</v>
      </c>
      <c r="B15" s="2" t="s">
        <v>57</v>
      </c>
    </row>
    <row r="16" spans="1:8" x14ac:dyDescent="0.3">
      <c r="A16" s="1" t="s">
        <v>58</v>
      </c>
      <c r="B16" s="2" t="s">
        <v>59</v>
      </c>
    </row>
    <row r="17" spans="1:8" x14ac:dyDescent="0.3">
      <c r="A17" s="1" t="s">
        <v>60</v>
      </c>
      <c r="B17" s="12">
        <v>0.02</v>
      </c>
    </row>
    <row r="19" spans="1:8" ht="19.95" customHeight="1" x14ac:dyDescent="0.3">
      <c r="A19" s="22" t="s">
        <v>61</v>
      </c>
      <c r="B19" s="23"/>
      <c r="C19" s="23"/>
      <c r="D19" s="23"/>
      <c r="E19" s="23"/>
      <c r="F19" s="23"/>
      <c r="G19" s="23"/>
      <c r="H19" s="23"/>
    </row>
    <row r="20" spans="1:8" x14ac:dyDescent="0.3">
      <c r="A20" s="1" t="s">
        <v>62</v>
      </c>
      <c r="B20" s="17">
        <f>IF(B6&gt;0,B5*(1-B6),"")</f>
        <v>0</v>
      </c>
    </row>
    <row r="21" spans="1:8" x14ac:dyDescent="0.3">
      <c r="A21" s="1" t="s">
        <v>63</v>
      </c>
      <c r="B21" s="17">
        <f>B5*B7</f>
        <v>0</v>
      </c>
    </row>
    <row r="22" spans="1:8" x14ac:dyDescent="0.3">
      <c r="A22" s="1" t="s">
        <v>20</v>
      </c>
      <c r="B22" s="17">
        <f>B21/12</f>
        <v>0</v>
      </c>
    </row>
    <row r="23" spans="1:8" x14ac:dyDescent="0.3">
      <c r="A23" s="1" t="s">
        <v>64</v>
      </c>
      <c r="B23" s="17">
        <f>MAX(0,B22-B10)</f>
        <v>0</v>
      </c>
    </row>
    <row r="24" spans="1:8" x14ac:dyDescent="0.3">
      <c r="A24" s="1" t="s">
        <v>65</v>
      </c>
      <c r="B24" s="18" t="str">
        <f>IF(B13&gt;0,IF(B23&gt;0,B12/B23,""), IF(B12&gt;0,IF(B12&gt;0,B12/B12,""), ""))</f>
        <v/>
      </c>
    </row>
    <row r="25" spans="1:8" x14ac:dyDescent="0.3">
      <c r="A25" s="1" t="s">
        <v>66</v>
      </c>
      <c r="B25" s="17" t="str">
        <f>IF(B13&gt;0,B13*(B8/30),"")</f>
        <v/>
      </c>
    </row>
    <row r="26" spans="1:8" x14ac:dyDescent="0.3">
      <c r="A26" s="1" t="s">
        <v>67</v>
      </c>
      <c r="B26" s="17">
        <f>B22</f>
        <v>0</v>
      </c>
    </row>
    <row r="28" spans="1:8" ht="19.95" customHeight="1" x14ac:dyDescent="0.3">
      <c r="A28" s="22" t="s">
        <v>68</v>
      </c>
      <c r="B28" s="23"/>
      <c r="C28" s="23"/>
      <c r="D28" s="23"/>
      <c r="E28" s="23"/>
      <c r="F28" s="23"/>
      <c r="G28" s="23"/>
      <c r="H28" s="23"/>
    </row>
    <row r="29" spans="1:8" x14ac:dyDescent="0.3">
      <c r="A29" s="28" t="s">
        <v>73</v>
      </c>
      <c r="B29" s="26"/>
      <c r="C29" s="26"/>
      <c r="D29" s="26"/>
      <c r="E29" s="26"/>
      <c r="F29" s="26"/>
      <c r="G29" s="26"/>
      <c r="H29" s="26"/>
    </row>
    <row r="30" spans="1:8" x14ac:dyDescent="0.3">
      <c r="A30" s="26"/>
      <c r="B30" s="26"/>
      <c r="C30" s="26"/>
      <c r="D30" s="26"/>
      <c r="E30" s="26"/>
      <c r="F30" s="26"/>
      <c r="G30" s="26"/>
      <c r="H30" s="26"/>
    </row>
    <row r="31" spans="1:8" x14ac:dyDescent="0.3">
      <c r="A31" s="26"/>
      <c r="B31" s="26"/>
      <c r="C31" s="26"/>
      <c r="D31" s="26"/>
      <c r="E31" s="26"/>
      <c r="F31" s="26"/>
      <c r="G31" s="26"/>
      <c r="H31" s="26"/>
    </row>
    <row r="32" spans="1:8" x14ac:dyDescent="0.3">
      <c r="A32" s="26"/>
      <c r="B32" s="26"/>
      <c r="C32" s="26"/>
      <c r="D32" s="26"/>
      <c r="E32" s="26"/>
      <c r="F32" s="26"/>
      <c r="G32" s="26"/>
      <c r="H32" s="26"/>
    </row>
    <row r="33" spans="1:8" x14ac:dyDescent="0.3">
      <c r="A33" s="26"/>
      <c r="B33" s="26"/>
      <c r="C33" s="26"/>
      <c r="D33" s="26"/>
      <c r="E33" s="26"/>
      <c r="F33" s="26"/>
      <c r="G33" s="26"/>
      <c r="H33" s="26"/>
    </row>
  </sheetData>
  <mergeCells count="7">
    <mergeCell ref="A1:H1"/>
    <mergeCell ref="A4:H4"/>
    <mergeCell ref="A29:H33"/>
    <mergeCell ref="A2:H2"/>
    <mergeCell ref="A28:H28"/>
    <mergeCell ref="A19:H19"/>
    <mergeCell ref="A14:H14"/>
  </mergeCells>
  <dataValidations count="2">
    <dataValidation type="list" sqref="B15" xr:uid="{00000000-0002-0000-0500-000000000000}">
      <formula1>"Yes,No,Depends"</formula1>
    </dataValidation>
    <dataValidation type="list" sqref="B16" xr:uid="{00000000-0002-0000-0500-000001000000}">
      <formula1>"No,Yes"</formula1>
    </dataValidation>
  </dataValidation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3"/>
  <sheetViews>
    <sheetView workbookViewId="0">
      <pane ySplit="4" topLeftCell="A5" activePane="bottomLeft" state="frozen"/>
      <selection pane="bottomLeft"/>
    </sheetView>
  </sheetViews>
  <sheetFormatPr defaultRowHeight="14.4" x14ac:dyDescent="0.3"/>
  <cols>
    <col min="1" max="1" width="26" customWidth="1"/>
    <col min="2" max="5" width="18" customWidth="1"/>
    <col min="6" max="6" width="14" customWidth="1"/>
    <col min="7" max="7" width="16" customWidth="1"/>
    <col min="8" max="8" width="2" customWidth="1"/>
  </cols>
  <sheetData>
    <row r="1" spans="1:8" ht="28.05" customHeight="1" x14ac:dyDescent="0.3">
      <c r="A1" s="27" t="s">
        <v>74</v>
      </c>
      <c r="B1" s="23"/>
      <c r="C1" s="23"/>
      <c r="D1" s="23"/>
      <c r="E1" s="23"/>
      <c r="F1" s="23"/>
      <c r="G1" s="23"/>
      <c r="H1" s="23"/>
    </row>
    <row r="2" spans="1:8" ht="18" customHeight="1" x14ac:dyDescent="0.3">
      <c r="A2" s="24" t="s">
        <v>34</v>
      </c>
      <c r="B2" s="23"/>
      <c r="C2" s="23"/>
      <c r="D2" s="23"/>
      <c r="E2" s="23"/>
      <c r="F2" s="23"/>
      <c r="G2" s="23"/>
      <c r="H2" s="23"/>
    </row>
    <row r="4" spans="1:8" ht="19.95" customHeight="1" x14ac:dyDescent="0.3">
      <c r="A4" s="22" t="s">
        <v>35</v>
      </c>
      <c r="B4" s="23"/>
      <c r="C4" s="23"/>
      <c r="D4" s="23"/>
      <c r="E4" s="23"/>
      <c r="F4" s="23"/>
      <c r="G4" s="23"/>
      <c r="H4" s="23"/>
    </row>
    <row r="5" spans="1:8" x14ac:dyDescent="0.3">
      <c r="A5" s="8" t="s">
        <v>36</v>
      </c>
      <c r="B5" s="19">
        <v>0</v>
      </c>
      <c r="C5" s="10" t="s">
        <v>75</v>
      </c>
      <c r="F5" s="11" t="s">
        <v>38</v>
      </c>
    </row>
    <row r="6" spans="1:8" x14ac:dyDescent="0.3">
      <c r="A6" s="8" t="s">
        <v>39</v>
      </c>
      <c r="B6" s="12">
        <v>0.3</v>
      </c>
      <c r="C6" s="10" t="s">
        <v>40</v>
      </c>
      <c r="F6" s="13" t="s">
        <v>41</v>
      </c>
      <c r="G6" s="20">
        <f>B22</f>
        <v>0</v>
      </c>
    </row>
    <row r="7" spans="1:8" x14ac:dyDescent="0.3">
      <c r="A7" s="8" t="s">
        <v>42</v>
      </c>
      <c r="B7" s="12">
        <v>0.6</v>
      </c>
      <c r="C7" s="10" t="s">
        <v>40</v>
      </c>
      <c r="F7" s="13" t="s">
        <v>43</v>
      </c>
      <c r="G7" s="20">
        <f>B10</f>
        <v>0</v>
      </c>
    </row>
    <row r="8" spans="1:8" x14ac:dyDescent="0.3">
      <c r="A8" s="8" t="s">
        <v>44</v>
      </c>
      <c r="B8" s="15">
        <v>90</v>
      </c>
      <c r="C8" s="10" t="s">
        <v>45</v>
      </c>
      <c r="F8" s="13" t="s">
        <v>46</v>
      </c>
      <c r="G8" s="20">
        <f>B23</f>
        <v>0</v>
      </c>
    </row>
    <row r="9" spans="1:8" x14ac:dyDescent="0.3">
      <c r="A9" s="8" t="s">
        <v>47</v>
      </c>
      <c r="B9" s="15">
        <v>5</v>
      </c>
      <c r="C9" s="10" t="s">
        <v>48</v>
      </c>
      <c r="F9" s="13" t="s">
        <v>49</v>
      </c>
      <c r="G9" s="16">
        <f>B8</f>
        <v>90</v>
      </c>
    </row>
    <row r="10" spans="1:8" x14ac:dyDescent="0.3">
      <c r="A10" s="8" t="s">
        <v>50</v>
      </c>
      <c r="B10" s="19">
        <v>0</v>
      </c>
      <c r="C10" s="10" t="s">
        <v>76</v>
      </c>
      <c r="F10" s="13" t="s">
        <v>52</v>
      </c>
      <c r="G10" s="16">
        <f>B9</f>
        <v>5</v>
      </c>
    </row>
    <row r="11" spans="1:8" x14ac:dyDescent="0.3">
      <c r="A11" s="8" t="s">
        <v>53</v>
      </c>
      <c r="B11" s="19">
        <v>0</v>
      </c>
      <c r="C11" s="10" t="s">
        <v>75</v>
      </c>
    </row>
    <row r="12" spans="1:8" x14ac:dyDescent="0.3">
      <c r="A12" s="8" t="s">
        <v>54</v>
      </c>
      <c r="B12" s="19">
        <v>0</v>
      </c>
      <c r="C12" s="10" t="s">
        <v>76</v>
      </c>
    </row>
    <row r="14" spans="1:8" ht="19.95" customHeight="1" x14ac:dyDescent="0.3">
      <c r="A14" s="22" t="s">
        <v>55</v>
      </c>
      <c r="B14" s="23"/>
      <c r="C14" s="23"/>
      <c r="D14" s="23"/>
      <c r="E14" s="23"/>
      <c r="F14" s="23"/>
      <c r="G14" s="23"/>
      <c r="H14" s="23"/>
    </row>
    <row r="15" spans="1:8" x14ac:dyDescent="0.3">
      <c r="A15" s="1" t="s">
        <v>56</v>
      </c>
      <c r="B15" s="2" t="s">
        <v>57</v>
      </c>
    </row>
    <row r="16" spans="1:8" x14ac:dyDescent="0.3">
      <c r="A16" s="1" t="s">
        <v>58</v>
      </c>
      <c r="B16" s="2" t="s">
        <v>59</v>
      </c>
    </row>
    <row r="17" spans="1:8" x14ac:dyDescent="0.3">
      <c r="A17" s="1" t="s">
        <v>60</v>
      </c>
      <c r="B17" s="12">
        <v>0.02</v>
      </c>
    </row>
    <row r="19" spans="1:8" ht="19.95" customHeight="1" x14ac:dyDescent="0.3">
      <c r="A19" s="22" t="s">
        <v>61</v>
      </c>
      <c r="B19" s="23"/>
      <c r="C19" s="23"/>
      <c r="D19" s="23"/>
      <c r="E19" s="23"/>
      <c r="F19" s="23"/>
      <c r="G19" s="23"/>
      <c r="H19" s="23"/>
    </row>
    <row r="20" spans="1:8" x14ac:dyDescent="0.3">
      <c r="A20" s="1" t="s">
        <v>62</v>
      </c>
      <c r="B20" s="21">
        <f>IF(B6&gt;0,B5*(1-B6),"")</f>
        <v>0</v>
      </c>
    </row>
    <row r="21" spans="1:8" x14ac:dyDescent="0.3">
      <c r="A21" s="1" t="s">
        <v>63</v>
      </c>
      <c r="B21" s="21">
        <f>B5*B7</f>
        <v>0</v>
      </c>
    </row>
    <row r="22" spans="1:8" x14ac:dyDescent="0.3">
      <c r="A22" s="1" t="s">
        <v>20</v>
      </c>
      <c r="B22" s="21">
        <f>B21/12</f>
        <v>0</v>
      </c>
    </row>
    <row r="23" spans="1:8" x14ac:dyDescent="0.3">
      <c r="A23" s="1" t="s">
        <v>64</v>
      </c>
      <c r="B23" s="21">
        <f>MAX(0,B22-B10)</f>
        <v>0</v>
      </c>
    </row>
    <row r="24" spans="1:8" x14ac:dyDescent="0.3">
      <c r="A24" s="1" t="s">
        <v>65</v>
      </c>
      <c r="B24" s="18" t="str">
        <f>IF(B13&gt;0,IF(B23&gt;0,B12/B23,""), IF(B12&gt;0,IF(B12&gt;0,B12/B12,""), ""))</f>
        <v/>
      </c>
    </row>
    <row r="25" spans="1:8" x14ac:dyDescent="0.3">
      <c r="A25" s="1" t="s">
        <v>66</v>
      </c>
      <c r="B25" s="21" t="str">
        <f>IF(B13&gt;0,B13*(B8/30),"")</f>
        <v/>
      </c>
    </row>
    <row r="26" spans="1:8" x14ac:dyDescent="0.3">
      <c r="A26" s="1" t="s">
        <v>67</v>
      </c>
      <c r="B26" s="21">
        <f>B22</f>
        <v>0</v>
      </c>
    </row>
    <row r="28" spans="1:8" ht="19.95" customHeight="1" x14ac:dyDescent="0.3">
      <c r="A28" s="22" t="s">
        <v>68</v>
      </c>
      <c r="B28" s="23"/>
      <c r="C28" s="23"/>
      <c r="D28" s="23"/>
      <c r="E28" s="23"/>
      <c r="F28" s="23"/>
      <c r="G28" s="23"/>
      <c r="H28" s="23"/>
    </row>
    <row r="29" spans="1:8" x14ac:dyDescent="0.3">
      <c r="A29" s="28" t="s">
        <v>77</v>
      </c>
      <c r="B29" s="26"/>
      <c r="C29" s="26"/>
      <c r="D29" s="26"/>
      <c r="E29" s="26"/>
      <c r="F29" s="26"/>
      <c r="G29" s="26"/>
      <c r="H29" s="26"/>
    </row>
    <row r="30" spans="1:8" x14ac:dyDescent="0.3">
      <c r="A30" s="26"/>
      <c r="B30" s="26"/>
      <c r="C30" s="26"/>
      <c r="D30" s="26"/>
      <c r="E30" s="26"/>
      <c r="F30" s="26"/>
      <c r="G30" s="26"/>
      <c r="H30" s="26"/>
    </row>
    <row r="31" spans="1:8" x14ac:dyDescent="0.3">
      <c r="A31" s="26"/>
      <c r="B31" s="26"/>
      <c r="C31" s="26"/>
      <c r="D31" s="26"/>
      <c r="E31" s="26"/>
      <c r="F31" s="26"/>
      <c r="G31" s="26"/>
      <c r="H31" s="26"/>
    </row>
    <row r="32" spans="1:8" x14ac:dyDescent="0.3">
      <c r="A32" s="26"/>
      <c r="B32" s="26"/>
      <c r="C32" s="26"/>
      <c r="D32" s="26"/>
      <c r="E32" s="26"/>
      <c r="F32" s="26"/>
      <c r="G32" s="26"/>
      <c r="H32" s="26"/>
    </row>
    <row r="33" spans="1:8" x14ac:dyDescent="0.3">
      <c r="A33" s="26"/>
      <c r="B33" s="26"/>
      <c r="C33" s="26"/>
      <c r="D33" s="26"/>
      <c r="E33" s="26"/>
      <c r="F33" s="26"/>
      <c r="G33" s="26"/>
      <c r="H33" s="26"/>
    </row>
  </sheetData>
  <mergeCells count="7">
    <mergeCell ref="A1:H1"/>
    <mergeCell ref="A4:H4"/>
    <mergeCell ref="A29:H33"/>
    <mergeCell ref="A2:H2"/>
    <mergeCell ref="A28:H28"/>
    <mergeCell ref="A19:H19"/>
    <mergeCell ref="A14:H14"/>
  </mergeCells>
  <dataValidations count="2">
    <dataValidation type="list" sqref="B15" xr:uid="{00000000-0002-0000-0600-000000000000}">
      <formula1>"Yes,No,Depends"</formula1>
    </dataValidation>
    <dataValidation type="list" sqref="B16" xr:uid="{00000000-0002-0000-0600-000001000000}">
      <formula1>"No,Yes"</formula1>
    </dataValidation>
  </dataValidation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Start Here</vt:lpstr>
      <vt:lpstr>Dashboard</vt:lpstr>
      <vt:lpstr>Notes &amp; Disclaimer</vt:lpstr>
      <vt:lpstr>US</vt:lpstr>
      <vt:lpstr>Canada</vt:lpstr>
      <vt:lpstr>Australia</vt:lpstr>
      <vt:lpstr>UK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 j</cp:lastModifiedBy>
  <dcterms:created xsi:type="dcterms:W3CDTF">2026-03-03T16:29:31Z</dcterms:created>
  <dcterms:modified xsi:type="dcterms:W3CDTF">2026-03-03T16:33:00Z</dcterms:modified>
</cp:coreProperties>
</file>