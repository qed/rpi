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Monika\Downloads\"/>
    </mc:Choice>
  </mc:AlternateContent>
  <xr:revisionPtr revIDLastSave="0" documentId="13_ncr:1_{A86FB20C-30DF-4D15-A00C-C2A566DA305E}" xr6:coauthVersionLast="47" xr6:coauthVersionMax="47" xr10:uidLastSave="{00000000-0000-0000-0000-000000000000}"/>
  <bookViews>
    <workbookView xWindow="-108" yWindow="-108" windowWidth="23256" windowHeight="12456" xr2:uid="{00000000-000D-0000-FFFF-FFFF00000000}"/>
  </bookViews>
  <sheets>
    <sheet name="Start Here" sheetId="1" r:id="rId1"/>
    <sheet name="Dashboard" sheetId="2" r:id="rId2"/>
    <sheet name="Notes &amp; Disclaimer" sheetId="3" r:id="rId3"/>
    <sheet name="US" sheetId="4" r:id="rId4"/>
    <sheet name="Canada" sheetId="5" r:id="rId5"/>
    <sheet name="Australia" sheetId="6" r:id="rId6"/>
    <sheet name="UK"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4" i="7" l="1"/>
  <c r="B22" i="7"/>
  <c r="B23" i="7" s="1"/>
  <c r="B21" i="7"/>
  <c r="B20" i="7"/>
  <c r="G7" i="7"/>
  <c r="B24" i="6"/>
  <c r="G7" i="6" s="1"/>
  <c r="B23" i="6"/>
  <c r="B25" i="6" s="1"/>
  <c r="G8" i="6" s="1"/>
  <c r="B22" i="6"/>
  <c r="B21" i="6"/>
  <c r="B20" i="6"/>
  <c r="B24" i="5"/>
  <c r="G7" i="5" s="1"/>
  <c r="B22" i="5"/>
  <c r="B23" i="5" s="1"/>
  <c r="B21" i="5"/>
  <c r="B20" i="5"/>
  <c r="B24" i="4"/>
  <c r="B22" i="4"/>
  <c r="B23" i="4" s="1"/>
  <c r="B21" i="4"/>
  <c r="B20" i="4"/>
  <c r="G7" i="4"/>
  <c r="B5" i="2"/>
  <c r="B25" i="4" l="1"/>
  <c r="G8" i="4" s="1"/>
  <c r="G6" i="4"/>
  <c r="B25" i="5"/>
  <c r="G8" i="5" s="1"/>
  <c r="G6" i="5"/>
  <c r="B25" i="7"/>
  <c r="G8" i="7" s="1"/>
  <c r="G6" i="7"/>
  <c r="G6" i="6"/>
  <c r="B10" i="2"/>
  <c r="B8" i="2"/>
  <c r="B9" i="2"/>
</calcChain>
</file>

<file path=xl/sharedStrings.xml><?xml version="1.0" encoding="utf-8"?>
<sst xmlns="http://schemas.openxmlformats.org/spreadsheetml/2006/main" count="188" uniqueCount="69">
  <si>
    <t>RPI Education — Critical Illness Insurance Analyzer</t>
  </si>
  <si>
    <t>Interactive tool (US | Canada | Australia | UK)</t>
  </si>
  <si>
    <t>1) Choose your country</t>
  </si>
  <si>
    <t>Country</t>
  </si>
  <si>
    <t>US</t>
  </si>
  <si>
    <t>Use dropdown</t>
  </si>
  <si>
    <t>2) What this tool does</t>
  </si>
  <si>
    <t>• Estimates a target lump-sum critical illness benefit (education-only) based on your income, expenses, debts, and goals.
• Identifies gaps after accounting for current coverage, savings, and employer benefits.
• Helps you think through common cost buckets: time off work, treatment/travel, home support, and debt payoff.</t>
  </si>
  <si>
    <t>3) Quick steps</t>
  </si>
  <si>
    <t>1) Select your country above.</t>
  </si>
  <si>
    <t>2) Go to the matching tab (US / Canada / Australia / UK).</t>
  </si>
  <si>
    <t>3) Fill in the blue cells. Gray cells calculate automatically.</t>
  </si>
  <si>
    <t>4) Review your summary and gap on the Dashboard tab.</t>
  </si>
  <si>
    <t>4) Disclaimer (short)</t>
  </si>
  <si>
    <t>Educational tool only. Not insurance, legal, or tax advice. Definitions, covered conditions, and pricing vary by insurer and jurisdiction.</t>
  </si>
  <si>
    <t>Dashboard</t>
  </si>
  <si>
    <t>Summary pulls from the country tab selected on 'Start Here'</t>
  </si>
  <si>
    <t>Selected Country</t>
  </si>
  <si>
    <t>US/CAN/AUS/UK</t>
  </si>
  <si>
    <t>Summary Outputs</t>
  </si>
  <si>
    <t>Target lump-sum benefit (estimate)</t>
  </si>
  <si>
    <t>Available resources (coverage + savings + other)</t>
  </si>
  <si>
    <t>Estimated coverage gap</t>
  </si>
  <si>
    <t>Interpretation Guide</t>
  </si>
  <si>
    <t>This tool estimates a lump-sum target for education only.
• Compare the target and gap to your current coverage.
• Review policy details: covered conditions, definitions, survival periods, exclusions, and partial benefit riders.
• Consider whether you want funds for debt payoff, time off work, or extra support costs.
Consult a licensed/regulated professional before making decisions.</t>
  </si>
  <si>
    <t>Notes &amp; Disclaimer</t>
  </si>
  <si>
    <t>Please read before using the analyzer</t>
  </si>
  <si>
    <t>Financial Education Disclaimer</t>
  </si>
  <si>
    <t>This analyzer is provided for educational and informational purposes only and does not constitute insurance advice, financial advice, tax advice, or legal advice. Results are estimates based on the inputs you provide and simplified assumptions. Critical illness/trauma products, covered conditions, underwriting, exclusions, survival periods, partial payouts, and tax treatment vary by country, region, insurer, and policy. Before purchasing, changing, or cancelling coverage, consult a licensed/regulated insurance professional in your jurisdiction and review the actual policy wording.</t>
  </si>
  <si>
    <t>How to use</t>
  </si>
  <si>
    <t>1) Select your country on the 'Start Here' tab.
2) Enter your income, essential expenses, and any one-time support budget.
3) Add any existing coverage and savings you’d use.
4) Review your Target and Gap on the Dashboard.
Tip: Start simple, then refine after reviewing employer benefits and current policy documents.</t>
  </si>
  <si>
    <t>United States — Critical Illness Lump-Sum Estimator</t>
  </si>
  <si>
    <t>Fill in blue cells. Gray cells are calculated.</t>
  </si>
  <si>
    <t>Inputs</t>
  </si>
  <si>
    <t>Annual gross income</t>
  </si>
  <si>
    <t>$</t>
  </si>
  <si>
    <t>Dashboard Map</t>
  </si>
  <si>
    <t>Monthly essential expenses</t>
  </si>
  <si>
    <t>$/mo</t>
  </si>
  <si>
    <t>TargetLump</t>
  </si>
  <si>
    <t>Total outstanding debts to cover (optional)</t>
  </si>
  <si>
    <t>Available</t>
  </si>
  <si>
    <t>Expected time off work if critically ill</t>
  </si>
  <si>
    <t>months</t>
  </si>
  <si>
    <t>Gap</t>
  </si>
  <si>
    <t>One-time treatment/travel/home-support budget</t>
  </si>
  <si>
    <t>Current critical illness coverage (lump sum)</t>
  </si>
  <si>
    <t>Savings available to apply (optional)</t>
  </si>
  <si>
    <t>Employer/other benefits (lump sum equiv.)</t>
  </si>
  <si>
    <t>Assumptions (toggle)</t>
  </si>
  <si>
    <t>Goal: cover debts?</t>
  </si>
  <si>
    <t>Yes</t>
  </si>
  <si>
    <t>Goal: replace income during recovery?</t>
  </si>
  <si>
    <t>Target % of income to replace (if Yes)</t>
  </si>
  <si>
    <t>Results</t>
  </si>
  <si>
    <t>Income replacement need (lump sum)</t>
  </si>
  <si>
    <t>Essential expense support (lump sum)</t>
  </si>
  <si>
    <t>Debt payoff need (if selected)</t>
  </si>
  <si>
    <t>Use the estimated gap as a conversation starter when reviewing coverage options and policy definitions.</t>
  </si>
  <si>
    <t>Country Notes</t>
  </si>
  <si>
    <t>US notes (general): Coverage varies widely by insurer and may define covered conditions differently. Some policies pay partial benefits for less severe events or have survival periods (e.g., must survive X days after diagnosis). Confirm exclusions, pre-existing condition rules, and how a claim is triggered with a licensed professional.</t>
  </si>
  <si>
    <t>Canada — Critical Illness Lump-Sum Estimator</t>
  </si>
  <si>
    <t>Canada notes (general): Covered conditions, survival periods, and partial benefit riders vary. Some policies offer return-of-premium options. Confirm underwriting, definitions, and whether benefits are tax-free in your situation. Consult a licensed professional and review the policy wording.</t>
  </si>
  <si>
    <t>Australia — Critical Illness Lump-Sum Estimator</t>
  </si>
  <si>
    <t>Australia notes (general): Critical illness is often offered as 'trauma cover'. Definitions and features vary (e.g., severity-based payments). If held inside super vs outside super, rules can differ. Confirm definitions, eligibility, and tax implications with a licensed adviser.</t>
  </si>
  <si>
    <t>United Kingdom — Critical Illness Lump-Sum Estimator</t>
  </si>
  <si>
    <t>£</t>
  </si>
  <si>
    <t>£/mo</t>
  </si>
  <si>
    <t>UK notes (general): Often referred to as 'critical illness cover'. Policies differ on which conditions are included and how they’re defined. Some policies are offered as standalone or attached to life insurance. Confirm definitions, exclusions, and claim triggers with a regulated adviser.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</si>
</sst>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
    <numFmt numFmtId="165" formatCode="&quot;£&quot;#,##0"/>
    <numFmt numFmtId="166" formatCode="\$#,##0;[Red]\-\$#,##0"/>
  </numFmts>
  <fonts count="8" x14ac:knownFonts="1">
    <font>
      <sz val="11"/>
      <color theme="1"/>
      <name val="Calibri"/>
      <family val="2"/>
      <scheme val="minor"/>
    </font>
    <font>
      <b/>
      <sz val="14"/>
      <color rgb="FFFFFFFF"/>
      <name val="Calibri"/>
    </font>
    <font>
      <b/>
      <sz val="11"/>
      <color rgb="FF111111"/>
      <name val="Calibri"/>
    </font>
    <font>
      <b/>
      <sz val="12"/>
      <color rgb="FF111111"/>
      <name val="Calibri"/>
    </font>
    <font>
      <b/>
      <sz val="11"/>
      <color rgb="FF111111"/>
      <name val="Calibri"/>
    </font>
    <font>
      <i/>
      <sz val="11"/>
      <color rgb="FF6B7280"/>
      <name val="Calibri"/>
    </font>
    <font>
      <sz val="10"/>
      <color rgb="FF111111"/>
      <name val="Calibri"/>
    </font>
    <font>
      <sz val="11"/>
      <color rgb="FF6B7280"/>
      <name val="Calibri"/>
    </font>
  </fonts>
  <fills count="6">
    <fill>
      <patternFill patternType="none"/>
    </fill>
    <fill>
      <patternFill patternType="gray125"/>
    </fill>
    <fill>
      <patternFill patternType="solid">
        <fgColor rgb="FF111111"/>
      </patternFill>
    </fill>
    <fill>
      <patternFill patternType="solid">
        <fgColor rgb="FFF2D200"/>
      </patternFill>
    </fill>
    <fill>
      <patternFill patternType="solid">
        <fgColor rgb="FFE8F0FE"/>
      </patternFill>
    </fill>
    <fill>
      <patternFill patternType="solid">
        <fgColor rgb="FFF3F4F6"/>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24">
    <xf numFmtId="0" fontId="0" fillId="0" borderId="0" xfId="0"/>
    <xf numFmtId="0" fontId="4" fillId="0" borderId="1" xfId="0" applyFont="1" applyBorder="1" applyAlignment="1">
      <alignment horizontal="left" vertical="center"/>
    </xf>
    <xf numFmtId="0" fontId="0" fillId="4" borderId="1" xfId="0" applyFill="1" applyBorder="1" applyAlignment="1">
      <alignment horizontal="left" vertical="center"/>
    </xf>
    <xf numFmtId="0" fontId="5" fillId="0" borderId="1" xfId="0" applyFont="1" applyBorder="1" applyAlignment="1">
      <alignment horizontal="left" vertical="center"/>
    </xf>
    <xf numFmtId="0" fontId="6" fillId="0" borderId="0" xfId="0" applyFont="1"/>
    <xf numFmtId="0" fontId="0" fillId="4" borderId="1" xfId="0" applyFill="1" applyBorder="1"/>
    <xf numFmtId="166" fontId="0" fillId="5" borderId="1" xfId="0" applyNumberFormat="1" applyFill="1" applyBorder="1" applyAlignment="1">
      <alignment horizontal="left" vertical="center"/>
    </xf>
    <xf numFmtId="164" fontId="0" fillId="4" borderId="1" xfId="0" applyNumberFormat="1" applyFill="1" applyBorder="1" applyAlignment="1">
      <alignment horizontal="left" vertical="center"/>
    </xf>
    <xf numFmtId="0" fontId="5" fillId="0" borderId="0" xfId="0" applyFont="1"/>
    <xf numFmtId="0" fontId="7" fillId="0" borderId="0" xfId="0" applyFont="1"/>
    <xf numFmtId="164" fontId="0" fillId="0" borderId="0" xfId="0" applyNumberFormat="1"/>
    <xf numFmtId="1" fontId="0" fillId="4" borderId="1" xfId="0" applyNumberFormat="1" applyFill="1" applyBorder="1" applyAlignment="1">
      <alignment horizontal="left" vertical="center"/>
    </xf>
    <xf numFmtId="9" fontId="0" fillId="4" borderId="1" xfId="0" applyNumberFormat="1" applyFill="1" applyBorder="1" applyAlignment="1">
      <alignment horizontal="left" vertical="center"/>
    </xf>
    <xf numFmtId="164" fontId="0" fillId="5" borderId="1" xfId="0" applyNumberFormat="1" applyFill="1" applyBorder="1" applyAlignment="1">
      <alignment horizontal="left" vertical="center"/>
    </xf>
    <xf numFmtId="165" fontId="0" fillId="4" borderId="1" xfId="0" applyNumberFormat="1" applyFill="1" applyBorder="1" applyAlignment="1">
      <alignment horizontal="left" vertical="center"/>
    </xf>
    <xf numFmtId="165" fontId="0" fillId="0" borderId="0" xfId="0" applyNumberFormat="1"/>
    <xf numFmtId="165" fontId="0" fillId="5" borderId="1" xfId="0" applyNumberFormat="1" applyFill="1" applyBorder="1" applyAlignment="1">
      <alignment horizontal="left" vertical="center"/>
    </xf>
    <xf numFmtId="0" fontId="3" fillId="3" borderId="0" xfId="0" applyFont="1" applyFill="1" applyAlignment="1">
      <alignment horizontal="left" vertical="center"/>
    </xf>
    <xf numFmtId="0" fontId="0" fillId="0" borderId="0" xfId="0"/>
    <xf numFmtId="0" fontId="6" fillId="5" borderId="1" xfId="0" applyFont="1" applyFill="1" applyBorder="1" applyAlignment="1">
      <alignment vertical="top" wrapText="1"/>
    </xf>
    <xf numFmtId="0" fontId="0" fillId="0" borderId="1" xfId="0" applyBorder="1"/>
    <xf numFmtId="0" fontId="2" fillId="0" borderId="0" xfId="0" applyFont="1" applyAlignment="1">
      <alignment horizontal="left" vertical="center"/>
    </xf>
    <xf numFmtId="0" fontId="1" fillId="2" borderId="0" xfId="0" applyFont="1" applyFill="1" applyAlignment="1">
      <alignment horizontal="left" vertical="center"/>
    </xf>
    <xf numFmtId="0" fontId="6" fillId="0" borderId="0" xfId="0" applyFon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0</xdr:colOff>
      <xdr:row>0</xdr:row>
      <xdr:rowOff>0</xdr:rowOff>
    </xdr:from>
    <xdr:ext cx="2000250" cy="1495425"/>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6</xdr:col>
      <xdr:colOff>0</xdr:colOff>
      <xdr:row>0</xdr:row>
      <xdr:rowOff>0</xdr:rowOff>
    </xdr:from>
    <xdr:ext cx="2000250" cy="1495425"/>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6</xdr:col>
      <xdr:colOff>0</xdr:colOff>
      <xdr:row>0</xdr:row>
      <xdr:rowOff>0</xdr:rowOff>
    </xdr:from>
    <xdr:ext cx="2000250" cy="1495425"/>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6</xdr:col>
      <xdr:colOff>0</xdr:colOff>
      <xdr:row>0</xdr:row>
      <xdr:rowOff>0</xdr:rowOff>
    </xdr:from>
    <xdr:ext cx="2000250" cy="1495425"/>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6</xdr:col>
      <xdr:colOff>0</xdr:colOff>
      <xdr:row>0</xdr:row>
      <xdr:rowOff>0</xdr:rowOff>
    </xdr:from>
    <xdr:ext cx="2000250" cy="1495425"/>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6</xdr:col>
      <xdr:colOff>0</xdr:colOff>
      <xdr:row>0</xdr:row>
      <xdr:rowOff>0</xdr:rowOff>
    </xdr:from>
    <xdr:ext cx="2000250" cy="1495425"/>
    <xdr:pic>
      <xdr:nvPicPr>
        <xdr:cNvPr id="2" name="Image 1" descr="Picture">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6</xdr:col>
      <xdr:colOff>0</xdr:colOff>
      <xdr:row>0</xdr:row>
      <xdr:rowOff>0</xdr:rowOff>
    </xdr:from>
    <xdr:ext cx="2000250" cy="1495425"/>
    <xdr:pic>
      <xdr:nvPicPr>
        <xdr:cNvPr id="2" name="Image 1" descr="Picture">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
  <sheetViews>
    <sheetView tabSelected="1" workbookViewId="0">
      <pane ySplit="4" topLeftCell="A5" activePane="bottomLeft" state="frozen"/>
      <selection pane="bottomLeft"/>
    </sheetView>
  </sheetViews>
  <sheetFormatPr defaultRowHeight="14.4" x14ac:dyDescent="0.3"/>
  <cols>
    <col min="1" max="1" width="24" customWidth="1"/>
    <col min="2" max="2" width="20" customWidth="1"/>
    <col min="3" max="8" width="18" customWidth="1"/>
  </cols>
  <sheetData>
    <row r="1" spans="1:8" ht="28.05" customHeight="1" x14ac:dyDescent="0.3">
      <c r="A1" s="22" t="s">
        <v>0</v>
      </c>
      <c r="B1" s="18"/>
      <c r="C1" s="18"/>
      <c r="D1" s="18"/>
      <c r="E1" s="18"/>
      <c r="F1" s="18"/>
      <c r="G1" s="18"/>
      <c r="H1" s="18"/>
    </row>
    <row r="2" spans="1:8" ht="18" customHeight="1" x14ac:dyDescent="0.3">
      <c r="A2" s="21" t="s">
        <v>1</v>
      </c>
      <c r="B2" s="18"/>
      <c r="C2" s="18"/>
      <c r="D2" s="18"/>
      <c r="E2" s="18"/>
      <c r="F2" s="18"/>
      <c r="G2" s="18"/>
      <c r="H2" s="18"/>
    </row>
    <row r="4" spans="1:8" ht="19.95" customHeight="1" x14ac:dyDescent="0.3">
      <c r="A4" s="17" t="s">
        <v>2</v>
      </c>
      <c r="B4" s="18"/>
      <c r="C4" s="18"/>
      <c r="D4" s="18"/>
      <c r="E4" s="18"/>
      <c r="F4" s="18"/>
      <c r="G4" s="18"/>
      <c r="H4" s="18"/>
    </row>
    <row r="5" spans="1:8" x14ac:dyDescent="0.3">
      <c r="A5" s="1" t="s">
        <v>3</v>
      </c>
      <c r="B5" s="2" t="s">
        <v>4</v>
      </c>
      <c r="C5" s="3" t="s">
        <v>5</v>
      </c>
    </row>
    <row r="7" spans="1:8" ht="19.95" customHeight="1" x14ac:dyDescent="0.3">
      <c r="A7" s="17" t="s">
        <v>6</v>
      </c>
      <c r="B7" s="18"/>
      <c r="C7" s="18"/>
      <c r="D7" s="18"/>
      <c r="E7" s="18"/>
      <c r="F7" s="18"/>
      <c r="G7" s="18"/>
      <c r="H7" s="18"/>
    </row>
    <row r="8" spans="1:8" x14ac:dyDescent="0.3">
      <c r="A8" s="19" t="s">
        <v>7</v>
      </c>
      <c r="B8" s="20"/>
      <c r="C8" s="20"/>
      <c r="D8" s="20"/>
      <c r="E8" s="20"/>
      <c r="F8" s="20"/>
      <c r="G8" s="20"/>
      <c r="H8" s="20"/>
    </row>
    <row r="9" spans="1:8" x14ac:dyDescent="0.3">
      <c r="A9" s="20"/>
      <c r="B9" s="20"/>
      <c r="C9" s="20"/>
      <c r="D9" s="20"/>
      <c r="E9" s="20"/>
      <c r="F9" s="20"/>
      <c r="G9" s="20"/>
      <c r="H9" s="20"/>
    </row>
    <row r="10" spans="1:8" x14ac:dyDescent="0.3">
      <c r="A10" s="20"/>
      <c r="B10" s="20"/>
      <c r="C10" s="20"/>
      <c r="D10" s="20"/>
      <c r="E10" s="20"/>
      <c r="F10" s="20"/>
      <c r="G10" s="20"/>
      <c r="H10" s="20"/>
    </row>
    <row r="11" spans="1:8" x14ac:dyDescent="0.3">
      <c r="A11" s="20"/>
      <c r="B11" s="20"/>
      <c r="C11" s="20"/>
      <c r="D11" s="20"/>
      <c r="E11" s="20"/>
      <c r="F11" s="20"/>
      <c r="G11" s="20"/>
      <c r="H11" s="20"/>
    </row>
    <row r="13" spans="1:8" ht="19.95" customHeight="1" x14ac:dyDescent="0.3">
      <c r="A13" s="17" t="s">
        <v>8</v>
      </c>
      <c r="B13" s="18"/>
      <c r="C13" s="18"/>
      <c r="D13" s="18"/>
      <c r="E13" s="18"/>
      <c r="F13" s="18"/>
      <c r="G13" s="18"/>
      <c r="H13" s="18"/>
    </row>
    <row r="14" spans="1:8" x14ac:dyDescent="0.3">
      <c r="A14" s="4" t="s">
        <v>9</v>
      </c>
    </row>
    <row r="15" spans="1:8" x14ac:dyDescent="0.3">
      <c r="A15" s="4" t="s">
        <v>10</v>
      </c>
    </row>
    <row r="16" spans="1:8" x14ac:dyDescent="0.3">
      <c r="A16" s="4" t="s">
        <v>11</v>
      </c>
    </row>
    <row r="17" spans="1:8" x14ac:dyDescent="0.3">
      <c r="A17" s="4" t="s">
        <v>12</v>
      </c>
    </row>
    <row r="19" spans="1:8" ht="19.95" customHeight="1" x14ac:dyDescent="0.3">
      <c r="A19" s="17" t="s">
        <v>13</v>
      </c>
      <c r="B19" s="18"/>
      <c r="C19" s="18"/>
      <c r="D19" s="18"/>
      <c r="E19" s="18"/>
      <c r="F19" s="18"/>
      <c r="G19" s="18"/>
      <c r="H19" s="18"/>
    </row>
    <row r="20" spans="1:8" x14ac:dyDescent="0.3">
      <c r="A20" s="19" t="s">
        <v>14</v>
      </c>
      <c r="B20" s="20"/>
      <c r="C20" s="20"/>
      <c r="D20" s="20"/>
      <c r="E20" s="20"/>
      <c r="F20" s="20"/>
      <c r="G20" s="20"/>
      <c r="H20" s="20"/>
    </row>
    <row r="21" spans="1:8" x14ac:dyDescent="0.3">
      <c r="A21" s="20"/>
      <c r="B21" s="20"/>
      <c r="C21" s="20"/>
      <c r="D21" s="20"/>
      <c r="E21" s="20"/>
      <c r="F21" s="20"/>
      <c r="G21" s="20"/>
      <c r="H21" s="20"/>
    </row>
  </sheetData>
  <mergeCells count="8">
    <mergeCell ref="A1:H1"/>
    <mergeCell ref="A4:H4"/>
    <mergeCell ref="A8:H11"/>
    <mergeCell ref="A7:H7"/>
    <mergeCell ref="A2:H2"/>
    <mergeCell ref="A20:H21"/>
    <mergeCell ref="A13:H13"/>
    <mergeCell ref="A19:H19"/>
  </mergeCells>
  <dataValidations count="1">
    <dataValidation type="list" sqref="B5" xr:uid="{00000000-0002-0000-0000-000000000000}">
      <formula1>"US,CAN,AUS,UK"</formula1>
    </dataValidation>
  </dataValidation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8"/>
  <sheetViews>
    <sheetView workbookViewId="0">
      <pane ySplit="7" topLeftCell="A8" activePane="bottomLeft" state="frozen"/>
      <selection pane="bottomLeft"/>
    </sheetView>
  </sheetViews>
  <sheetFormatPr defaultRowHeight="14.4" x14ac:dyDescent="0.3"/>
  <cols>
    <col min="1" max="1" width="28" customWidth="1"/>
    <col min="2" max="3" width="20" customWidth="1"/>
    <col min="4" max="8" width="18" customWidth="1"/>
  </cols>
  <sheetData>
    <row r="1" spans="1:8" ht="28.05" customHeight="1" x14ac:dyDescent="0.3">
      <c r="A1" s="22" t="s">
        <v>15</v>
      </c>
      <c r="B1" s="18"/>
      <c r="C1" s="18"/>
      <c r="D1" s="18"/>
      <c r="E1" s="18"/>
      <c r="F1" s="18"/>
      <c r="G1" s="18"/>
      <c r="H1" s="18"/>
    </row>
    <row r="2" spans="1:8" ht="18" customHeight="1" x14ac:dyDescent="0.3">
      <c r="A2" s="21" t="s">
        <v>16</v>
      </c>
      <c r="B2" s="18"/>
      <c r="C2" s="18"/>
      <c r="D2" s="18"/>
      <c r="E2" s="18"/>
      <c r="F2" s="18"/>
      <c r="G2" s="18"/>
      <c r="H2" s="18"/>
    </row>
    <row r="4" spans="1:8" ht="19.95" customHeight="1" x14ac:dyDescent="0.3">
      <c r="A4" s="17" t="s">
        <v>17</v>
      </c>
      <c r="B4" s="18"/>
      <c r="C4" s="18"/>
      <c r="D4" s="18"/>
      <c r="E4" s="18"/>
      <c r="F4" s="18"/>
      <c r="G4" s="18"/>
      <c r="H4" s="18"/>
    </row>
    <row r="5" spans="1:8" x14ac:dyDescent="0.3">
      <c r="A5" s="1" t="s">
        <v>3</v>
      </c>
      <c r="B5" s="5" t="str">
        <f>'Start Here'!B5</f>
        <v>US</v>
      </c>
      <c r="C5" s="3" t="s">
        <v>18</v>
      </c>
    </row>
    <row r="7" spans="1:8" ht="19.95" customHeight="1" x14ac:dyDescent="0.3">
      <c r="A7" s="17" t="s">
        <v>19</v>
      </c>
      <c r="B7" s="18"/>
      <c r="C7" s="18"/>
      <c r="D7" s="18"/>
      <c r="E7" s="18"/>
      <c r="F7" s="18"/>
      <c r="G7" s="18"/>
      <c r="H7" s="18"/>
    </row>
    <row r="8" spans="1:8" x14ac:dyDescent="0.3">
      <c r="A8" s="1" t="s">
        <v>20</v>
      </c>
      <c r="B8" s="6">
        <f ca="1">INDIRECT(B5&amp;"!G6")</f>
        <v>0</v>
      </c>
    </row>
    <row r="9" spans="1:8" x14ac:dyDescent="0.3">
      <c r="A9" s="1" t="s">
        <v>21</v>
      </c>
      <c r="B9" s="6">
        <f ca="1">INDIRECT(B5&amp;"!G7")</f>
        <v>0</v>
      </c>
    </row>
    <row r="10" spans="1:8" x14ac:dyDescent="0.3">
      <c r="A10" s="1" t="s">
        <v>22</v>
      </c>
      <c r="B10" s="6">
        <f ca="1">INDIRECT(B5&amp;"!G8")</f>
        <v>0</v>
      </c>
    </row>
    <row r="12" spans="1:8" ht="19.95" customHeight="1" x14ac:dyDescent="0.3">
      <c r="A12" s="17" t="s">
        <v>23</v>
      </c>
      <c r="B12" s="18"/>
      <c r="C12" s="18"/>
      <c r="D12" s="18"/>
      <c r="E12" s="18"/>
      <c r="F12" s="18"/>
      <c r="G12" s="18"/>
      <c r="H12" s="18"/>
    </row>
    <row r="13" spans="1:8" x14ac:dyDescent="0.3">
      <c r="A13" s="19" t="s">
        <v>24</v>
      </c>
      <c r="B13" s="20"/>
      <c r="C13" s="20"/>
      <c r="D13" s="20"/>
      <c r="E13" s="20"/>
      <c r="F13" s="20"/>
      <c r="G13" s="20"/>
      <c r="H13" s="20"/>
    </row>
    <row r="14" spans="1:8" x14ac:dyDescent="0.3">
      <c r="A14" s="20"/>
      <c r="B14" s="20"/>
      <c r="C14" s="20"/>
      <c r="D14" s="20"/>
      <c r="E14" s="20"/>
      <c r="F14" s="20"/>
      <c r="G14" s="20"/>
      <c r="H14" s="20"/>
    </row>
    <row r="15" spans="1:8" x14ac:dyDescent="0.3">
      <c r="A15" s="20"/>
      <c r="B15" s="20"/>
      <c r="C15" s="20"/>
      <c r="D15" s="20"/>
      <c r="E15" s="20"/>
      <c r="F15" s="20"/>
      <c r="G15" s="20"/>
      <c r="H15" s="20"/>
    </row>
    <row r="16" spans="1:8" x14ac:dyDescent="0.3">
      <c r="A16" s="20"/>
      <c r="B16" s="20"/>
      <c r="C16" s="20"/>
      <c r="D16" s="20"/>
      <c r="E16" s="20"/>
      <c r="F16" s="20"/>
      <c r="G16" s="20"/>
      <c r="H16" s="20"/>
    </row>
    <row r="17" spans="1:8" x14ac:dyDescent="0.3">
      <c r="A17" s="20"/>
      <c r="B17" s="20"/>
      <c r="C17" s="20"/>
      <c r="D17" s="20"/>
      <c r="E17" s="20"/>
      <c r="F17" s="20"/>
      <c r="G17" s="20"/>
      <c r="H17" s="20"/>
    </row>
    <row r="18" spans="1:8" x14ac:dyDescent="0.3">
      <c r="A18" s="20"/>
      <c r="B18" s="20"/>
      <c r="C18" s="20"/>
      <c r="D18" s="20"/>
      <c r="E18" s="20"/>
      <c r="F18" s="20"/>
      <c r="G18" s="20"/>
      <c r="H18" s="20"/>
    </row>
  </sheetData>
  <mergeCells count="6">
    <mergeCell ref="A1:H1"/>
    <mergeCell ref="A12:H12"/>
    <mergeCell ref="A4:H4"/>
    <mergeCell ref="A13:H18"/>
    <mergeCell ref="A7:H7"/>
    <mergeCell ref="A2:H2"/>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9"/>
  <sheetViews>
    <sheetView workbookViewId="0">
      <pane ySplit="4" topLeftCell="A5" activePane="bottomLeft" state="frozen"/>
      <selection pane="bottomLeft"/>
    </sheetView>
  </sheetViews>
  <sheetFormatPr defaultRowHeight="14.4" x14ac:dyDescent="0.3"/>
  <cols>
    <col min="1" max="4" width="24" customWidth="1"/>
    <col min="5" max="8" width="18" customWidth="1"/>
  </cols>
  <sheetData>
    <row r="1" spans="1:8" ht="28.05" customHeight="1" x14ac:dyDescent="0.3">
      <c r="A1" s="22" t="s">
        <v>25</v>
      </c>
      <c r="B1" s="18"/>
      <c r="C1" s="18"/>
      <c r="D1" s="18"/>
      <c r="E1" s="18"/>
      <c r="F1" s="18"/>
      <c r="G1" s="18"/>
      <c r="H1" s="18"/>
    </row>
    <row r="2" spans="1:8" ht="18" customHeight="1" x14ac:dyDescent="0.3">
      <c r="A2" s="21" t="s">
        <v>26</v>
      </c>
      <c r="B2" s="18"/>
      <c r="C2" s="18"/>
      <c r="D2" s="18"/>
      <c r="E2" s="18"/>
      <c r="F2" s="18"/>
      <c r="G2" s="18"/>
      <c r="H2" s="18"/>
    </row>
    <row r="4" spans="1:8" ht="19.95" customHeight="1" x14ac:dyDescent="0.3">
      <c r="A4" s="17" t="s">
        <v>27</v>
      </c>
      <c r="B4" s="18"/>
      <c r="C4" s="18"/>
      <c r="D4" s="18"/>
      <c r="E4" s="18"/>
      <c r="F4" s="18"/>
      <c r="G4" s="18"/>
      <c r="H4" s="18"/>
    </row>
    <row r="5" spans="1:8" x14ac:dyDescent="0.3">
      <c r="A5" s="19" t="s">
        <v>28</v>
      </c>
      <c r="B5" s="20"/>
      <c r="C5" s="20"/>
      <c r="D5" s="20"/>
      <c r="E5" s="20"/>
      <c r="F5" s="20"/>
      <c r="G5" s="20"/>
      <c r="H5" s="20"/>
    </row>
    <row r="6" spans="1:8" x14ac:dyDescent="0.3">
      <c r="A6" s="20"/>
      <c r="B6" s="20"/>
      <c r="C6" s="20"/>
      <c r="D6" s="20"/>
      <c r="E6" s="20"/>
      <c r="F6" s="20"/>
      <c r="G6" s="20"/>
      <c r="H6" s="20"/>
    </row>
    <row r="7" spans="1:8" x14ac:dyDescent="0.3">
      <c r="A7" s="20"/>
      <c r="B7" s="20"/>
      <c r="C7" s="20"/>
      <c r="D7" s="20"/>
      <c r="E7" s="20"/>
      <c r="F7" s="20"/>
      <c r="G7" s="20"/>
      <c r="H7" s="20"/>
    </row>
    <row r="8" spans="1:8" x14ac:dyDescent="0.3">
      <c r="A8" s="20"/>
      <c r="B8" s="20"/>
      <c r="C8" s="20"/>
      <c r="D8" s="20"/>
      <c r="E8" s="20"/>
      <c r="F8" s="20"/>
      <c r="G8" s="20"/>
      <c r="H8" s="20"/>
    </row>
    <row r="9" spans="1:8" x14ac:dyDescent="0.3">
      <c r="A9" s="20"/>
      <c r="B9" s="20"/>
      <c r="C9" s="20"/>
      <c r="D9" s="20"/>
      <c r="E9" s="20"/>
      <c r="F9" s="20"/>
      <c r="G9" s="20"/>
      <c r="H9" s="20"/>
    </row>
    <row r="10" spans="1:8" x14ac:dyDescent="0.3">
      <c r="A10" s="20"/>
      <c r="B10" s="20"/>
      <c r="C10" s="20"/>
      <c r="D10" s="20"/>
      <c r="E10" s="20"/>
      <c r="F10" s="20"/>
      <c r="G10" s="20"/>
      <c r="H10" s="20"/>
    </row>
    <row r="11" spans="1:8" x14ac:dyDescent="0.3">
      <c r="A11" s="20"/>
      <c r="B11" s="20"/>
      <c r="C11" s="20"/>
      <c r="D11" s="20"/>
      <c r="E11" s="20"/>
      <c r="F11" s="20"/>
      <c r="G11" s="20"/>
      <c r="H11" s="20"/>
    </row>
    <row r="13" spans="1:8" ht="19.95" customHeight="1" x14ac:dyDescent="0.3">
      <c r="A13" s="17" t="s">
        <v>29</v>
      </c>
      <c r="B13" s="18"/>
      <c r="C13" s="18"/>
      <c r="D13" s="18"/>
      <c r="E13" s="18"/>
      <c r="F13" s="18"/>
      <c r="G13" s="18"/>
      <c r="H13" s="18"/>
    </row>
    <row r="14" spans="1:8" x14ac:dyDescent="0.3">
      <c r="A14" s="19" t="s">
        <v>30</v>
      </c>
      <c r="B14" s="20"/>
      <c r="C14" s="20"/>
      <c r="D14" s="20"/>
      <c r="E14" s="20"/>
      <c r="F14" s="20"/>
      <c r="G14" s="20"/>
      <c r="H14" s="20"/>
    </row>
    <row r="15" spans="1:8" x14ac:dyDescent="0.3">
      <c r="A15" s="20"/>
      <c r="B15" s="20"/>
      <c r="C15" s="20"/>
      <c r="D15" s="20"/>
      <c r="E15" s="20"/>
      <c r="F15" s="20"/>
      <c r="G15" s="20"/>
      <c r="H15" s="20"/>
    </row>
    <row r="16" spans="1:8" x14ac:dyDescent="0.3">
      <c r="A16" s="20"/>
      <c r="B16" s="20"/>
      <c r="C16" s="20"/>
      <c r="D16" s="20"/>
      <c r="E16" s="20"/>
      <c r="F16" s="20"/>
      <c r="G16" s="20"/>
      <c r="H16" s="20"/>
    </row>
    <row r="17" spans="1:8" x14ac:dyDescent="0.3">
      <c r="A17" s="20"/>
      <c r="B17" s="20"/>
      <c r="C17" s="20"/>
      <c r="D17" s="20"/>
      <c r="E17" s="20"/>
      <c r="F17" s="20"/>
      <c r="G17" s="20"/>
      <c r="H17" s="20"/>
    </row>
    <row r="18" spans="1:8" x14ac:dyDescent="0.3">
      <c r="A18" s="20"/>
      <c r="B18" s="20"/>
      <c r="C18" s="20"/>
      <c r="D18" s="20"/>
      <c r="E18" s="20"/>
      <c r="F18" s="20"/>
      <c r="G18" s="20"/>
      <c r="H18" s="20"/>
    </row>
    <row r="19" spans="1:8" x14ac:dyDescent="0.3">
      <c r="A19" s="20"/>
      <c r="B19" s="20"/>
      <c r="C19" s="20"/>
      <c r="D19" s="20"/>
      <c r="E19" s="20"/>
      <c r="F19" s="20"/>
      <c r="G19" s="20"/>
      <c r="H19" s="20"/>
    </row>
  </sheetData>
  <mergeCells count="6">
    <mergeCell ref="A4:H4"/>
    <mergeCell ref="A2:H2"/>
    <mergeCell ref="A13:H13"/>
    <mergeCell ref="A14:H19"/>
    <mergeCell ref="A1:H1"/>
    <mergeCell ref="A5:H11"/>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4"/>
  <sheetViews>
    <sheetView workbookViewId="0">
      <pane ySplit="4" topLeftCell="A5" activePane="bottomLeft" state="frozen"/>
      <selection pane="bottomLeft"/>
    </sheetView>
  </sheetViews>
  <sheetFormatPr defaultRowHeight="14.4" x14ac:dyDescent="0.3"/>
  <cols>
    <col min="1" max="1" width="34" customWidth="1"/>
    <col min="2" max="5" width="18" customWidth="1"/>
    <col min="6" max="6" width="14" customWidth="1"/>
    <col min="7" max="7" width="16" customWidth="1"/>
    <col min="8" max="8" width="2" customWidth="1"/>
  </cols>
  <sheetData>
    <row r="1" spans="1:8" ht="28.05" customHeight="1" x14ac:dyDescent="0.3">
      <c r="A1" s="22" t="s">
        <v>31</v>
      </c>
      <c r="B1" s="18"/>
      <c r="C1" s="18"/>
      <c r="D1" s="18"/>
      <c r="E1" s="18"/>
      <c r="F1" s="18"/>
      <c r="G1" s="18"/>
      <c r="H1" s="18"/>
    </row>
    <row r="2" spans="1:8" ht="18" customHeight="1" x14ac:dyDescent="0.3">
      <c r="A2" s="21" t="s">
        <v>32</v>
      </c>
      <c r="B2" s="18"/>
      <c r="C2" s="18"/>
      <c r="D2" s="18"/>
      <c r="E2" s="18"/>
      <c r="F2" s="18"/>
      <c r="G2" s="18"/>
      <c r="H2" s="18"/>
    </row>
    <row r="4" spans="1:8" ht="19.95" customHeight="1" x14ac:dyDescent="0.3">
      <c r="A4" s="17" t="s">
        <v>33</v>
      </c>
      <c r="B4" s="18"/>
      <c r="C4" s="18"/>
      <c r="D4" s="18"/>
      <c r="E4" s="18"/>
      <c r="F4" s="18"/>
      <c r="G4" s="18"/>
      <c r="H4" s="18"/>
    </row>
    <row r="5" spans="1:8" x14ac:dyDescent="0.3">
      <c r="A5" s="1" t="s">
        <v>34</v>
      </c>
      <c r="B5" s="7">
        <v>0</v>
      </c>
      <c r="C5" s="3" t="s">
        <v>35</v>
      </c>
      <c r="F5" s="8" t="s">
        <v>36</v>
      </c>
    </row>
    <row r="6" spans="1:8" x14ac:dyDescent="0.3">
      <c r="A6" s="1" t="s">
        <v>37</v>
      </c>
      <c r="B6" s="7">
        <v>0</v>
      </c>
      <c r="C6" s="3" t="s">
        <v>38</v>
      </c>
      <c r="F6" s="9" t="s">
        <v>39</v>
      </c>
      <c r="G6" s="10">
        <f>B23</f>
        <v>0</v>
      </c>
    </row>
    <row r="7" spans="1:8" x14ac:dyDescent="0.3">
      <c r="A7" s="1" t="s">
        <v>40</v>
      </c>
      <c r="B7" s="7">
        <v>0</v>
      </c>
      <c r="C7" s="3" t="s">
        <v>35</v>
      </c>
      <c r="F7" s="9" t="s">
        <v>41</v>
      </c>
      <c r="G7" s="10">
        <f>B24</f>
        <v>0</v>
      </c>
    </row>
    <row r="8" spans="1:8" x14ac:dyDescent="0.3">
      <c r="A8" s="1" t="s">
        <v>42</v>
      </c>
      <c r="B8" s="11">
        <v>6</v>
      </c>
      <c r="C8" s="3" t="s">
        <v>43</v>
      </c>
      <c r="F8" s="9" t="s">
        <v>44</v>
      </c>
      <c r="G8" s="10">
        <f>B25</f>
        <v>0</v>
      </c>
    </row>
    <row r="9" spans="1:8" x14ac:dyDescent="0.3">
      <c r="A9" s="1" t="s">
        <v>45</v>
      </c>
      <c r="B9" s="7">
        <v>0</v>
      </c>
      <c r="C9" s="3" t="s">
        <v>35</v>
      </c>
    </row>
    <row r="10" spans="1:8" x14ac:dyDescent="0.3">
      <c r="A10" s="1" t="s">
        <v>46</v>
      </c>
      <c r="B10" s="7">
        <v>0</v>
      </c>
      <c r="C10" s="3" t="s">
        <v>35</v>
      </c>
    </row>
    <row r="11" spans="1:8" x14ac:dyDescent="0.3">
      <c r="A11" s="1" t="s">
        <v>47</v>
      </c>
      <c r="B11" s="7">
        <v>0</v>
      </c>
      <c r="C11" s="3" t="s">
        <v>35</v>
      </c>
    </row>
    <row r="12" spans="1:8" x14ac:dyDescent="0.3">
      <c r="A12" s="1" t="s">
        <v>48</v>
      </c>
      <c r="B12" s="7">
        <v>0</v>
      </c>
      <c r="C12" s="3" t="s">
        <v>35</v>
      </c>
    </row>
    <row r="14" spans="1:8" ht="19.95" customHeight="1" x14ac:dyDescent="0.3">
      <c r="A14" s="17" t="s">
        <v>49</v>
      </c>
      <c r="B14" s="18"/>
      <c r="C14" s="18"/>
      <c r="D14" s="18"/>
      <c r="E14" s="18"/>
      <c r="F14" s="18"/>
      <c r="G14" s="18"/>
      <c r="H14" s="18"/>
    </row>
    <row r="15" spans="1:8" x14ac:dyDescent="0.3">
      <c r="A15" s="1" t="s">
        <v>50</v>
      </c>
      <c r="B15" s="2" t="s">
        <v>51</v>
      </c>
    </row>
    <row r="16" spans="1:8" x14ac:dyDescent="0.3">
      <c r="A16" s="1" t="s">
        <v>52</v>
      </c>
      <c r="B16" s="2" t="s">
        <v>51</v>
      </c>
    </row>
    <row r="17" spans="1:8" x14ac:dyDescent="0.3">
      <c r="A17" s="1" t="s">
        <v>53</v>
      </c>
      <c r="B17" s="12">
        <v>0.6</v>
      </c>
    </row>
    <row r="19" spans="1:8" ht="19.95" customHeight="1" x14ac:dyDescent="0.3">
      <c r="A19" s="17" t="s">
        <v>54</v>
      </c>
      <c r="B19" s="18"/>
      <c r="C19" s="18"/>
      <c r="D19" s="18"/>
      <c r="E19" s="18"/>
      <c r="F19" s="18"/>
      <c r="G19" s="18"/>
      <c r="H19" s="18"/>
    </row>
    <row r="20" spans="1:8" x14ac:dyDescent="0.3">
      <c r="A20" s="1" t="s">
        <v>55</v>
      </c>
      <c r="B20" s="13">
        <f>IF(B16="Yes", (B5/12)*B17*B8, 0)</f>
        <v>0</v>
      </c>
    </row>
    <row r="21" spans="1:8" x14ac:dyDescent="0.3">
      <c r="A21" s="1" t="s">
        <v>56</v>
      </c>
      <c r="B21" s="13">
        <f>B6*B8</f>
        <v>0</v>
      </c>
    </row>
    <row r="22" spans="1:8" x14ac:dyDescent="0.3">
      <c r="A22" s="1" t="s">
        <v>57</v>
      </c>
      <c r="B22" s="13">
        <f>IF(B15="Yes", B7, 0)</f>
        <v>0</v>
      </c>
    </row>
    <row r="23" spans="1:8" x14ac:dyDescent="0.3">
      <c r="A23" s="1" t="s">
        <v>20</v>
      </c>
      <c r="B23" s="13">
        <f>MAX(B20,B21)+B22+B9</f>
        <v>0</v>
      </c>
    </row>
    <row r="24" spans="1:8" x14ac:dyDescent="0.3">
      <c r="A24" s="1" t="s">
        <v>21</v>
      </c>
      <c r="B24" s="13">
        <f>B10+B11+B12</f>
        <v>0</v>
      </c>
    </row>
    <row r="25" spans="1:8" x14ac:dyDescent="0.3">
      <c r="A25" s="1" t="s">
        <v>22</v>
      </c>
      <c r="B25" s="13">
        <f>MAX(0,B23-B24)</f>
        <v>0</v>
      </c>
    </row>
    <row r="27" spans="1:8" x14ac:dyDescent="0.3">
      <c r="A27" s="23" t="s">
        <v>58</v>
      </c>
      <c r="B27" s="18"/>
      <c r="C27" s="18"/>
      <c r="D27" s="18"/>
      <c r="E27" s="18"/>
      <c r="F27" s="18"/>
      <c r="G27" s="18"/>
      <c r="H27" s="18"/>
    </row>
    <row r="29" spans="1:8" ht="19.95" customHeight="1" x14ac:dyDescent="0.3">
      <c r="A29" s="17" t="s">
        <v>59</v>
      </c>
      <c r="B29" s="18"/>
      <c r="C29" s="18"/>
      <c r="D29" s="18"/>
      <c r="E29" s="18"/>
      <c r="F29" s="18"/>
      <c r="G29" s="18"/>
      <c r="H29" s="18"/>
    </row>
    <row r="30" spans="1:8" x14ac:dyDescent="0.3">
      <c r="A30" s="19" t="s">
        <v>60</v>
      </c>
      <c r="B30" s="20"/>
      <c r="C30" s="20"/>
      <c r="D30" s="20"/>
      <c r="E30" s="20"/>
      <c r="F30" s="20"/>
      <c r="G30" s="20"/>
      <c r="H30" s="20"/>
    </row>
    <row r="31" spans="1:8" x14ac:dyDescent="0.3">
      <c r="A31" s="20"/>
      <c r="B31" s="20"/>
      <c r="C31" s="20"/>
      <c r="D31" s="20"/>
      <c r="E31" s="20"/>
      <c r="F31" s="20"/>
      <c r="G31" s="20"/>
      <c r="H31" s="20"/>
    </row>
    <row r="32" spans="1:8" x14ac:dyDescent="0.3">
      <c r="A32" s="20"/>
      <c r="B32" s="20"/>
      <c r="C32" s="20"/>
      <c r="D32" s="20"/>
      <c r="E32" s="20"/>
      <c r="F32" s="20"/>
      <c r="G32" s="20"/>
      <c r="H32" s="20"/>
    </row>
    <row r="33" spans="1:8" x14ac:dyDescent="0.3">
      <c r="A33" s="20"/>
      <c r="B33" s="20"/>
      <c r="C33" s="20"/>
      <c r="D33" s="20"/>
      <c r="E33" s="20"/>
      <c r="F33" s="20"/>
      <c r="G33" s="20"/>
      <c r="H33" s="20"/>
    </row>
    <row r="34" spans="1:8" x14ac:dyDescent="0.3">
      <c r="A34" s="20"/>
      <c r="B34" s="20"/>
      <c r="C34" s="20"/>
      <c r="D34" s="20"/>
      <c r="E34" s="20"/>
      <c r="F34" s="20"/>
      <c r="G34" s="20"/>
      <c r="H34" s="20"/>
    </row>
  </sheetData>
  <mergeCells count="8">
    <mergeCell ref="A1:H1"/>
    <mergeCell ref="A27:H27"/>
    <mergeCell ref="A30:H34"/>
    <mergeCell ref="A4:H4"/>
    <mergeCell ref="A29:H29"/>
    <mergeCell ref="A2:H2"/>
    <mergeCell ref="A19:H19"/>
    <mergeCell ref="A14:H14"/>
  </mergeCells>
  <dataValidations count="1">
    <dataValidation type="list" sqref="B15:B16" xr:uid="{00000000-0002-0000-0300-000000000000}">
      <formula1>"Yes,No"</formula1>
    </dataValidation>
  </dataValidation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4"/>
  <sheetViews>
    <sheetView workbookViewId="0">
      <pane ySplit="4" topLeftCell="A5" activePane="bottomLeft" state="frozen"/>
      <selection pane="bottomLeft"/>
    </sheetView>
  </sheetViews>
  <sheetFormatPr defaultRowHeight="14.4" x14ac:dyDescent="0.3"/>
  <cols>
    <col min="1" max="1" width="34" customWidth="1"/>
    <col min="2" max="5" width="18" customWidth="1"/>
    <col min="6" max="6" width="14" customWidth="1"/>
    <col min="7" max="7" width="16" customWidth="1"/>
    <col min="8" max="8" width="2" customWidth="1"/>
  </cols>
  <sheetData>
    <row r="1" spans="1:8" ht="28.05" customHeight="1" x14ac:dyDescent="0.3">
      <c r="A1" s="22" t="s">
        <v>61</v>
      </c>
      <c r="B1" s="18"/>
      <c r="C1" s="18"/>
      <c r="D1" s="18"/>
      <c r="E1" s="18"/>
      <c r="F1" s="18"/>
      <c r="G1" s="18"/>
      <c r="H1" s="18"/>
    </row>
    <row r="2" spans="1:8" ht="18" customHeight="1" x14ac:dyDescent="0.3">
      <c r="A2" s="21" t="s">
        <v>32</v>
      </c>
      <c r="B2" s="18"/>
      <c r="C2" s="18"/>
      <c r="D2" s="18"/>
      <c r="E2" s="18"/>
      <c r="F2" s="18"/>
      <c r="G2" s="18"/>
      <c r="H2" s="18"/>
    </row>
    <row r="4" spans="1:8" ht="19.95" customHeight="1" x14ac:dyDescent="0.3">
      <c r="A4" s="17" t="s">
        <v>33</v>
      </c>
      <c r="B4" s="18"/>
      <c r="C4" s="18"/>
      <c r="D4" s="18"/>
      <c r="E4" s="18"/>
      <c r="F4" s="18"/>
      <c r="G4" s="18"/>
      <c r="H4" s="18"/>
    </row>
    <row r="5" spans="1:8" x14ac:dyDescent="0.3">
      <c r="A5" s="1" t="s">
        <v>34</v>
      </c>
      <c r="B5" s="7">
        <v>0</v>
      </c>
      <c r="C5" s="3" t="s">
        <v>35</v>
      </c>
      <c r="F5" s="8" t="s">
        <v>36</v>
      </c>
    </row>
    <row r="6" spans="1:8" x14ac:dyDescent="0.3">
      <c r="A6" s="1" t="s">
        <v>37</v>
      </c>
      <c r="B6" s="7">
        <v>0</v>
      </c>
      <c r="C6" s="3" t="s">
        <v>38</v>
      </c>
      <c r="F6" s="9" t="s">
        <v>39</v>
      </c>
      <c r="G6" s="10">
        <f>B23</f>
        <v>0</v>
      </c>
    </row>
    <row r="7" spans="1:8" x14ac:dyDescent="0.3">
      <c r="A7" s="1" t="s">
        <v>40</v>
      </c>
      <c r="B7" s="7">
        <v>0</v>
      </c>
      <c r="C7" s="3" t="s">
        <v>35</v>
      </c>
      <c r="F7" s="9" t="s">
        <v>41</v>
      </c>
      <c r="G7" s="10">
        <f>B24</f>
        <v>0</v>
      </c>
    </row>
    <row r="8" spans="1:8" x14ac:dyDescent="0.3">
      <c r="A8" s="1" t="s">
        <v>42</v>
      </c>
      <c r="B8" s="11">
        <v>6</v>
      </c>
      <c r="C8" s="3" t="s">
        <v>43</v>
      </c>
      <c r="F8" s="9" t="s">
        <v>44</v>
      </c>
      <c r="G8" s="10">
        <f>B25</f>
        <v>0</v>
      </c>
    </row>
    <row r="9" spans="1:8" x14ac:dyDescent="0.3">
      <c r="A9" s="1" t="s">
        <v>45</v>
      </c>
      <c r="B9" s="7">
        <v>0</v>
      </c>
      <c r="C9" s="3" t="s">
        <v>35</v>
      </c>
    </row>
    <row r="10" spans="1:8" x14ac:dyDescent="0.3">
      <c r="A10" s="1" t="s">
        <v>46</v>
      </c>
      <c r="B10" s="7">
        <v>0</v>
      </c>
      <c r="C10" s="3" t="s">
        <v>35</v>
      </c>
    </row>
    <row r="11" spans="1:8" x14ac:dyDescent="0.3">
      <c r="A11" s="1" t="s">
        <v>47</v>
      </c>
      <c r="B11" s="7">
        <v>0</v>
      </c>
      <c r="C11" s="3" t="s">
        <v>35</v>
      </c>
    </row>
    <row r="12" spans="1:8" x14ac:dyDescent="0.3">
      <c r="A12" s="1" t="s">
        <v>48</v>
      </c>
      <c r="B12" s="7">
        <v>0</v>
      </c>
      <c r="C12" s="3" t="s">
        <v>35</v>
      </c>
    </row>
    <row r="14" spans="1:8" ht="19.95" customHeight="1" x14ac:dyDescent="0.3">
      <c r="A14" s="17" t="s">
        <v>49</v>
      </c>
      <c r="B14" s="18"/>
      <c r="C14" s="18"/>
      <c r="D14" s="18"/>
      <c r="E14" s="18"/>
      <c r="F14" s="18"/>
      <c r="G14" s="18"/>
      <c r="H14" s="18"/>
    </row>
    <row r="15" spans="1:8" x14ac:dyDescent="0.3">
      <c r="A15" s="1" t="s">
        <v>50</v>
      </c>
      <c r="B15" s="2" t="s">
        <v>51</v>
      </c>
    </row>
    <row r="16" spans="1:8" x14ac:dyDescent="0.3">
      <c r="A16" s="1" t="s">
        <v>52</v>
      </c>
      <c r="B16" s="2" t="s">
        <v>51</v>
      </c>
    </row>
    <row r="17" spans="1:8" x14ac:dyDescent="0.3">
      <c r="A17" s="1" t="s">
        <v>53</v>
      </c>
      <c r="B17" s="12">
        <v>0.6</v>
      </c>
    </row>
    <row r="19" spans="1:8" ht="19.95" customHeight="1" x14ac:dyDescent="0.3">
      <c r="A19" s="17" t="s">
        <v>54</v>
      </c>
      <c r="B19" s="18"/>
      <c r="C19" s="18"/>
      <c r="D19" s="18"/>
      <c r="E19" s="18"/>
      <c r="F19" s="18"/>
      <c r="G19" s="18"/>
      <c r="H19" s="18"/>
    </row>
    <row r="20" spans="1:8" x14ac:dyDescent="0.3">
      <c r="A20" s="1" t="s">
        <v>55</v>
      </c>
      <c r="B20" s="13">
        <f>IF(B16="Yes", (B5/12)*B17*B8, 0)</f>
        <v>0</v>
      </c>
    </row>
    <row r="21" spans="1:8" x14ac:dyDescent="0.3">
      <c r="A21" s="1" t="s">
        <v>56</v>
      </c>
      <c r="B21" s="13">
        <f>B6*B8</f>
        <v>0</v>
      </c>
    </row>
    <row r="22" spans="1:8" x14ac:dyDescent="0.3">
      <c r="A22" s="1" t="s">
        <v>57</v>
      </c>
      <c r="B22" s="13">
        <f>IF(B15="Yes", B7, 0)</f>
        <v>0</v>
      </c>
    </row>
    <row r="23" spans="1:8" x14ac:dyDescent="0.3">
      <c r="A23" s="1" t="s">
        <v>20</v>
      </c>
      <c r="B23" s="13">
        <f>MAX(B20,B21)+B22+B9</f>
        <v>0</v>
      </c>
    </row>
    <row r="24" spans="1:8" x14ac:dyDescent="0.3">
      <c r="A24" s="1" t="s">
        <v>21</v>
      </c>
      <c r="B24" s="13">
        <f>B10+B11+B12</f>
        <v>0</v>
      </c>
    </row>
    <row r="25" spans="1:8" x14ac:dyDescent="0.3">
      <c r="A25" s="1" t="s">
        <v>22</v>
      </c>
      <c r="B25" s="13">
        <f>MAX(0,B23-B24)</f>
        <v>0</v>
      </c>
    </row>
    <row r="27" spans="1:8" x14ac:dyDescent="0.3">
      <c r="A27" s="23" t="s">
        <v>58</v>
      </c>
      <c r="B27" s="18"/>
      <c r="C27" s="18"/>
      <c r="D27" s="18"/>
      <c r="E27" s="18"/>
      <c r="F27" s="18"/>
      <c r="G27" s="18"/>
      <c r="H27" s="18"/>
    </row>
    <row r="29" spans="1:8" ht="19.95" customHeight="1" x14ac:dyDescent="0.3">
      <c r="A29" s="17" t="s">
        <v>59</v>
      </c>
      <c r="B29" s="18"/>
      <c r="C29" s="18"/>
      <c r="D29" s="18"/>
      <c r="E29" s="18"/>
      <c r="F29" s="18"/>
      <c r="G29" s="18"/>
      <c r="H29" s="18"/>
    </row>
    <row r="30" spans="1:8" x14ac:dyDescent="0.3">
      <c r="A30" s="19" t="s">
        <v>62</v>
      </c>
      <c r="B30" s="20"/>
      <c r="C30" s="20"/>
      <c r="D30" s="20"/>
      <c r="E30" s="20"/>
      <c r="F30" s="20"/>
      <c r="G30" s="20"/>
      <c r="H30" s="20"/>
    </row>
    <row r="31" spans="1:8" x14ac:dyDescent="0.3">
      <c r="A31" s="20"/>
      <c r="B31" s="20"/>
      <c r="C31" s="20"/>
      <c r="D31" s="20"/>
      <c r="E31" s="20"/>
      <c r="F31" s="20"/>
      <c r="G31" s="20"/>
      <c r="H31" s="20"/>
    </row>
    <row r="32" spans="1:8" x14ac:dyDescent="0.3">
      <c r="A32" s="20"/>
      <c r="B32" s="20"/>
      <c r="C32" s="20"/>
      <c r="D32" s="20"/>
      <c r="E32" s="20"/>
      <c r="F32" s="20"/>
      <c r="G32" s="20"/>
      <c r="H32" s="20"/>
    </row>
    <row r="33" spans="1:8" x14ac:dyDescent="0.3">
      <c r="A33" s="20"/>
      <c r="B33" s="20"/>
      <c r="C33" s="20"/>
      <c r="D33" s="20"/>
      <c r="E33" s="20"/>
      <c r="F33" s="20"/>
      <c r="G33" s="20"/>
      <c r="H33" s="20"/>
    </row>
    <row r="34" spans="1:8" x14ac:dyDescent="0.3">
      <c r="A34" s="20"/>
      <c r="B34" s="20"/>
      <c r="C34" s="20"/>
      <c r="D34" s="20"/>
      <c r="E34" s="20"/>
      <c r="F34" s="20"/>
      <c r="G34" s="20"/>
      <c r="H34" s="20"/>
    </row>
  </sheetData>
  <mergeCells count="8">
    <mergeCell ref="A1:H1"/>
    <mergeCell ref="A27:H27"/>
    <mergeCell ref="A30:H34"/>
    <mergeCell ref="A4:H4"/>
    <mergeCell ref="A29:H29"/>
    <mergeCell ref="A2:H2"/>
    <mergeCell ref="A19:H19"/>
    <mergeCell ref="A14:H14"/>
  </mergeCells>
  <dataValidations count="1">
    <dataValidation type="list" sqref="B15:B16" xr:uid="{00000000-0002-0000-0400-000000000000}">
      <formula1>"Yes,No"</formula1>
    </dataValidation>
  </dataValidation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4"/>
  <sheetViews>
    <sheetView workbookViewId="0">
      <pane ySplit="4" topLeftCell="A5" activePane="bottomLeft" state="frozen"/>
      <selection pane="bottomLeft"/>
    </sheetView>
  </sheetViews>
  <sheetFormatPr defaultRowHeight="14.4" x14ac:dyDescent="0.3"/>
  <cols>
    <col min="1" max="1" width="34" customWidth="1"/>
    <col min="2" max="5" width="18" customWidth="1"/>
    <col min="6" max="6" width="14" customWidth="1"/>
    <col min="7" max="7" width="16" customWidth="1"/>
    <col min="8" max="8" width="2" customWidth="1"/>
  </cols>
  <sheetData>
    <row r="1" spans="1:8" ht="28.05" customHeight="1" x14ac:dyDescent="0.3">
      <c r="A1" s="22" t="s">
        <v>63</v>
      </c>
      <c r="B1" s="18"/>
      <c r="C1" s="18"/>
      <c r="D1" s="18"/>
      <c r="E1" s="18"/>
      <c r="F1" s="18"/>
      <c r="G1" s="18"/>
      <c r="H1" s="18"/>
    </row>
    <row r="2" spans="1:8" ht="18" customHeight="1" x14ac:dyDescent="0.3">
      <c r="A2" s="21" t="s">
        <v>32</v>
      </c>
      <c r="B2" s="18"/>
      <c r="C2" s="18"/>
      <c r="D2" s="18"/>
      <c r="E2" s="18"/>
      <c r="F2" s="18"/>
      <c r="G2" s="18"/>
      <c r="H2" s="18"/>
    </row>
    <row r="4" spans="1:8" ht="19.95" customHeight="1" x14ac:dyDescent="0.3">
      <c r="A4" s="17" t="s">
        <v>33</v>
      </c>
      <c r="B4" s="18"/>
      <c r="C4" s="18"/>
      <c r="D4" s="18"/>
      <c r="E4" s="18"/>
      <c r="F4" s="18"/>
      <c r="G4" s="18"/>
      <c r="H4" s="18"/>
    </row>
    <row r="5" spans="1:8" x14ac:dyDescent="0.3">
      <c r="A5" s="1" t="s">
        <v>34</v>
      </c>
      <c r="B5" s="7">
        <v>0</v>
      </c>
      <c r="C5" s="3" t="s">
        <v>35</v>
      </c>
      <c r="F5" s="8" t="s">
        <v>36</v>
      </c>
    </row>
    <row r="6" spans="1:8" x14ac:dyDescent="0.3">
      <c r="A6" s="1" t="s">
        <v>37</v>
      </c>
      <c r="B6" s="7">
        <v>0</v>
      </c>
      <c r="C6" s="3" t="s">
        <v>38</v>
      </c>
      <c r="F6" s="9" t="s">
        <v>39</v>
      </c>
      <c r="G6" s="10">
        <f>B23</f>
        <v>0</v>
      </c>
    </row>
    <row r="7" spans="1:8" x14ac:dyDescent="0.3">
      <c r="A7" s="1" t="s">
        <v>40</v>
      </c>
      <c r="B7" s="7">
        <v>0</v>
      </c>
      <c r="C7" s="3" t="s">
        <v>35</v>
      </c>
      <c r="F7" s="9" t="s">
        <v>41</v>
      </c>
      <c r="G7" s="10">
        <f>B24</f>
        <v>0</v>
      </c>
    </row>
    <row r="8" spans="1:8" x14ac:dyDescent="0.3">
      <c r="A8" s="1" t="s">
        <v>42</v>
      </c>
      <c r="B8" s="11">
        <v>6</v>
      </c>
      <c r="C8" s="3" t="s">
        <v>43</v>
      </c>
      <c r="F8" s="9" t="s">
        <v>44</v>
      </c>
      <c r="G8" s="10">
        <f>B25</f>
        <v>0</v>
      </c>
    </row>
    <row r="9" spans="1:8" x14ac:dyDescent="0.3">
      <c r="A9" s="1" t="s">
        <v>45</v>
      </c>
      <c r="B9" s="7">
        <v>0</v>
      </c>
      <c r="C9" s="3" t="s">
        <v>35</v>
      </c>
    </row>
    <row r="10" spans="1:8" x14ac:dyDescent="0.3">
      <c r="A10" s="1" t="s">
        <v>46</v>
      </c>
      <c r="B10" s="7">
        <v>0</v>
      </c>
      <c r="C10" s="3" t="s">
        <v>35</v>
      </c>
    </row>
    <row r="11" spans="1:8" x14ac:dyDescent="0.3">
      <c r="A11" s="1" t="s">
        <v>47</v>
      </c>
      <c r="B11" s="7">
        <v>0</v>
      </c>
      <c r="C11" s="3" t="s">
        <v>35</v>
      </c>
    </row>
    <row r="12" spans="1:8" x14ac:dyDescent="0.3">
      <c r="A12" s="1" t="s">
        <v>48</v>
      </c>
      <c r="B12" s="7">
        <v>0</v>
      </c>
      <c r="C12" s="3" t="s">
        <v>35</v>
      </c>
    </row>
    <row r="14" spans="1:8" ht="19.95" customHeight="1" x14ac:dyDescent="0.3">
      <c r="A14" s="17" t="s">
        <v>49</v>
      </c>
      <c r="B14" s="18"/>
      <c r="C14" s="18"/>
      <c r="D14" s="18"/>
      <c r="E14" s="18"/>
      <c r="F14" s="18"/>
      <c r="G14" s="18"/>
      <c r="H14" s="18"/>
    </row>
    <row r="15" spans="1:8" x14ac:dyDescent="0.3">
      <c r="A15" s="1" t="s">
        <v>50</v>
      </c>
      <c r="B15" s="2" t="s">
        <v>51</v>
      </c>
    </row>
    <row r="16" spans="1:8" x14ac:dyDescent="0.3">
      <c r="A16" s="1" t="s">
        <v>52</v>
      </c>
      <c r="B16" s="2" t="s">
        <v>51</v>
      </c>
    </row>
    <row r="17" spans="1:8" x14ac:dyDescent="0.3">
      <c r="A17" s="1" t="s">
        <v>53</v>
      </c>
      <c r="B17" s="12">
        <v>0.6</v>
      </c>
    </row>
    <row r="19" spans="1:8" ht="19.95" customHeight="1" x14ac:dyDescent="0.3">
      <c r="A19" s="17" t="s">
        <v>54</v>
      </c>
      <c r="B19" s="18"/>
      <c r="C19" s="18"/>
      <c r="D19" s="18"/>
      <c r="E19" s="18"/>
      <c r="F19" s="18"/>
      <c r="G19" s="18"/>
      <c r="H19" s="18"/>
    </row>
    <row r="20" spans="1:8" x14ac:dyDescent="0.3">
      <c r="A20" s="1" t="s">
        <v>55</v>
      </c>
      <c r="B20" s="13">
        <f>IF(B16="Yes", (B5/12)*B17*B8, 0)</f>
        <v>0</v>
      </c>
    </row>
    <row r="21" spans="1:8" x14ac:dyDescent="0.3">
      <c r="A21" s="1" t="s">
        <v>56</v>
      </c>
      <c r="B21" s="13">
        <f>B6*B8</f>
        <v>0</v>
      </c>
    </row>
    <row r="22" spans="1:8" x14ac:dyDescent="0.3">
      <c r="A22" s="1" t="s">
        <v>57</v>
      </c>
      <c r="B22" s="13">
        <f>IF(B15="Yes", B7, 0)</f>
        <v>0</v>
      </c>
    </row>
    <row r="23" spans="1:8" x14ac:dyDescent="0.3">
      <c r="A23" s="1" t="s">
        <v>20</v>
      </c>
      <c r="B23" s="13">
        <f>MAX(B20,B21)+B22+B9</f>
        <v>0</v>
      </c>
    </row>
    <row r="24" spans="1:8" x14ac:dyDescent="0.3">
      <c r="A24" s="1" t="s">
        <v>21</v>
      </c>
      <c r="B24" s="13">
        <f>B10+B11+B12</f>
        <v>0</v>
      </c>
    </row>
    <row r="25" spans="1:8" x14ac:dyDescent="0.3">
      <c r="A25" s="1" t="s">
        <v>22</v>
      </c>
      <c r="B25" s="13">
        <f>MAX(0,B23-B24)</f>
        <v>0</v>
      </c>
    </row>
    <row r="27" spans="1:8" x14ac:dyDescent="0.3">
      <c r="A27" s="23" t="s">
        <v>58</v>
      </c>
      <c r="B27" s="18"/>
      <c r="C27" s="18"/>
      <c r="D27" s="18"/>
      <c r="E27" s="18"/>
      <c r="F27" s="18"/>
      <c r="G27" s="18"/>
      <c r="H27" s="18"/>
    </row>
    <row r="29" spans="1:8" ht="19.95" customHeight="1" x14ac:dyDescent="0.3">
      <c r="A29" s="17" t="s">
        <v>59</v>
      </c>
      <c r="B29" s="18"/>
      <c r="C29" s="18"/>
      <c r="D29" s="18"/>
      <c r="E29" s="18"/>
      <c r="F29" s="18"/>
      <c r="G29" s="18"/>
      <c r="H29" s="18"/>
    </row>
    <row r="30" spans="1:8" x14ac:dyDescent="0.3">
      <c r="A30" s="19" t="s">
        <v>64</v>
      </c>
      <c r="B30" s="20"/>
      <c r="C30" s="20"/>
      <c r="D30" s="20"/>
      <c r="E30" s="20"/>
      <c r="F30" s="20"/>
      <c r="G30" s="20"/>
      <c r="H30" s="20"/>
    </row>
    <row r="31" spans="1:8" x14ac:dyDescent="0.3">
      <c r="A31" s="20"/>
      <c r="B31" s="20"/>
      <c r="C31" s="20"/>
      <c r="D31" s="20"/>
      <c r="E31" s="20"/>
      <c r="F31" s="20"/>
      <c r="G31" s="20"/>
      <c r="H31" s="20"/>
    </row>
    <row r="32" spans="1:8" x14ac:dyDescent="0.3">
      <c r="A32" s="20"/>
      <c r="B32" s="20"/>
      <c r="C32" s="20"/>
      <c r="D32" s="20"/>
      <c r="E32" s="20"/>
      <c r="F32" s="20"/>
      <c r="G32" s="20"/>
      <c r="H32" s="20"/>
    </row>
    <row r="33" spans="1:8" x14ac:dyDescent="0.3">
      <c r="A33" s="20"/>
      <c r="B33" s="20"/>
      <c r="C33" s="20"/>
      <c r="D33" s="20"/>
      <c r="E33" s="20"/>
      <c r="F33" s="20"/>
      <c r="G33" s="20"/>
      <c r="H33" s="20"/>
    </row>
    <row r="34" spans="1:8" x14ac:dyDescent="0.3">
      <c r="A34" s="20"/>
      <c r="B34" s="20"/>
      <c r="C34" s="20"/>
      <c r="D34" s="20"/>
      <c r="E34" s="20"/>
      <c r="F34" s="20"/>
      <c r="G34" s="20"/>
      <c r="H34" s="20"/>
    </row>
  </sheetData>
  <mergeCells count="8">
    <mergeCell ref="A1:H1"/>
    <mergeCell ref="A27:H27"/>
    <mergeCell ref="A30:H34"/>
    <mergeCell ref="A4:H4"/>
    <mergeCell ref="A29:H29"/>
    <mergeCell ref="A2:H2"/>
    <mergeCell ref="A19:H19"/>
    <mergeCell ref="A14:H14"/>
  </mergeCells>
  <dataValidations count="1">
    <dataValidation type="list" sqref="B15:B16" xr:uid="{00000000-0002-0000-0500-000000000000}">
      <formula1>"Yes,No"</formula1>
    </dataValidation>
  </dataValidation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4"/>
  <sheetViews>
    <sheetView workbookViewId="0">
      <pane ySplit="4" topLeftCell="A5" activePane="bottomLeft" state="frozen"/>
      <selection pane="bottomLeft"/>
    </sheetView>
  </sheetViews>
  <sheetFormatPr defaultRowHeight="14.4" x14ac:dyDescent="0.3"/>
  <cols>
    <col min="1" max="1" width="34" customWidth="1"/>
    <col min="2" max="5" width="18" customWidth="1"/>
    <col min="6" max="6" width="14" customWidth="1"/>
    <col min="7" max="7" width="16" customWidth="1"/>
    <col min="8" max="8" width="2" customWidth="1"/>
  </cols>
  <sheetData>
    <row r="1" spans="1:8" ht="28.05" customHeight="1" x14ac:dyDescent="0.3">
      <c r="A1" s="22" t="s">
        <v>65</v>
      </c>
      <c r="B1" s="18"/>
      <c r="C1" s="18"/>
      <c r="D1" s="18"/>
      <c r="E1" s="18"/>
      <c r="F1" s="18"/>
      <c r="G1" s="18"/>
      <c r="H1" s="18"/>
    </row>
    <row r="2" spans="1:8" ht="18" customHeight="1" x14ac:dyDescent="0.3">
      <c r="A2" s="21" t="s">
        <v>32</v>
      </c>
      <c r="B2" s="18"/>
      <c r="C2" s="18"/>
      <c r="D2" s="18"/>
      <c r="E2" s="18"/>
      <c r="F2" s="18"/>
      <c r="G2" s="18"/>
      <c r="H2" s="18"/>
    </row>
    <row r="4" spans="1:8" ht="19.95" customHeight="1" x14ac:dyDescent="0.3">
      <c r="A4" s="17" t="s">
        <v>33</v>
      </c>
      <c r="B4" s="18"/>
      <c r="C4" s="18"/>
      <c r="D4" s="18"/>
      <c r="E4" s="18"/>
      <c r="F4" s="18"/>
      <c r="G4" s="18"/>
      <c r="H4" s="18"/>
    </row>
    <row r="5" spans="1:8" x14ac:dyDescent="0.3">
      <c r="A5" s="1" t="s">
        <v>34</v>
      </c>
      <c r="B5" s="14">
        <v>0</v>
      </c>
      <c r="C5" s="3" t="s">
        <v>66</v>
      </c>
      <c r="F5" s="8" t="s">
        <v>36</v>
      </c>
    </row>
    <row r="6" spans="1:8" x14ac:dyDescent="0.3">
      <c r="A6" s="1" t="s">
        <v>37</v>
      </c>
      <c r="B6" s="14">
        <v>0</v>
      </c>
      <c r="C6" s="3" t="s">
        <v>67</v>
      </c>
      <c r="F6" s="9" t="s">
        <v>39</v>
      </c>
      <c r="G6" s="15">
        <f>B23</f>
        <v>0</v>
      </c>
    </row>
    <row r="7" spans="1:8" x14ac:dyDescent="0.3">
      <c r="A7" s="1" t="s">
        <v>40</v>
      </c>
      <c r="B7" s="14">
        <v>0</v>
      </c>
      <c r="C7" s="3" t="s">
        <v>66</v>
      </c>
      <c r="F7" s="9" t="s">
        <v>41</v>
      </c>
      <c r="G7" s="15">
        <f>B24</f>
        <v>0</v>
      </c>
    </row>
    <row r="8" spans="1:8" x14ac:dyDescent="0.3">
      <c r="A8" s="1" t="s">
        <v>42</v>
      </c>
      <c r="B8" s="11">
        <v>6</v>
      </c>
      <c r="C8" s="3" t="s">
        <v>43</v>
      </c>
      <c r="F8" s="9" t="s">
        <v>44</v>
      </c>
      <c r="G8" s="15">
        <f>B25</f>
        <v>0</v>
      </c>
    </row>
    <row r="9" spans="1:8" x14ac:dyDescent="0.3">
      <c r="A9" s="1" t="s">
        <v>45</v>
      </c>
      <c r="B9" s="14">
        <v>0</v>
      </c>
      <c r="C9" s="3" t="s">
        <v>66</v>
      </c>
    </row>
    <row r="10" spans="1:8" x14ac:dyDescent="0.3">
      <c r="A10" s="1" t="s">
        <v>46</v>
      </c>
      <c r="B10" s="14">
        <v>0</v>
      </c>
      <c r="C10" s="3" t="s">
        <v>66</v>
      </c>
    </row>
    <row r="11" spans="1:8" x14ac:dyDescent="0.3">
      <c r="A11" s="1" t="s">
        <v>47</v>
      </c>
      <c r="B11" s="14">
        <v>0</v>
      </c>
      <c r="C11" s="3" t="s">
        <v>66</v>
      </c>
    </row>
    <row r="12" spans="1:8" x14ac:dyDescent="0.3">
      <c r="A12" s="1" t="s">
        <v>48</v>
      </c>
      <c r="B12" s="14">
        <v>0</v>
      </c>
      <c r="C12" s="3" t="s">
        <v>66</v>
      </c>
    </row>
    <row r="14" spans="1:8" ht="19.95" customHeight="1" x14ac:dyDescent="0.3">
      <c r="A14" s="17" t="s">
        <v>49</v>
      </c>
      <c r="B14" s="18"/>
      <c r="C14" s="18"/>
      <c r="D14" s="18"/>
      <c r="E14" s="18"/>
      <c r="F14" s="18"/>
      <c r="G14" s="18"/>
      <c r="H14" s="18"/>
    </row>
    <row r="15" spans="1:8" x14ac:dyDescent="0.3">
      <c r="A15" s="1" t="s">
        <v>50</v>
      </c>
      <c r="B15" s="2" t="s">
        <v>51</v>
      </c>
    </row>
    <row r="16" spans="1:8" x14ac:dyDescent="0.3">
      <c r="A16" s="1" t="s">
        <v>52</v>
      </c>
      <c r="B16" s="2" t="s">
        <v>51</v>
      </c>
    </row>
    <row r="17" spans="1:8" x14ac:dyDescent="0.3">
      <c r="A17" s="1" t="s">
        <v>53</v>
      </c>
      <c r="B17" s="12">
        <v>0.6</v>
      </c>
    </row>
    <row r="19" spans="1:8" ht="19.95" customHeight="1" x14ac:dyDescent="0.3">
      <c r="A19" s="17" t="s">
        <v>54</v>
      </c>
      <c r="B19" s="18"/>
      <c r="C19" s="18"/>
      <c r="D19" s="18"/>
      <c r="E19" s="18"/>
      <c r="F19" s="18"/>
      <c r="G19" s="18"/>
      <c r="H19" s="18"/>
    </row>
    <row r="20" spans="1:8" x14ac:dyDescent="0.3">
      <c r="A20" s="1" t="s">
        <v>55</v>
      </c>
      <c r="B20" s="16">
        <f>IF(B16="Yes", (B5/12)*B17*B8, 0)</f>
        <v>0</v>
      </c>
    </row>
    <row r="21" spans="1:8" x14ac:dyDescent="0.3">
      <c r="A21" s="1" t="s">
        <v>56</v>
      </c>
      <c r="B21" s="16">
        <f>B6*B8</f>
        <v>0</v>
      </c>
    </row>
    <row r="22" spans="1:8" x14ac:dyDescent="0.3">
      <c r="A22" s="1" t="s">
        <v>57</v>
      </c>
      <c r="B22" s="16">
        <f>IF(B15="Yes", B7, 0)</f>
        <v>0</v>
      </c>
    </row>
    <row r="23" spans="1:8" x14ac:dyDescent="0.3">
      <c r="A23" s="1" t="s">
        <v>20</v>
      </c>
      <c r="B23" s="16">
        <f>MAX(B20,B21)+B22+B9</f>
        <v>0</v>
      </c>
    </row>
    <row r="24" spans="1:8" x14ac:dyDescent="0.3">
      <c r="A24" s="1" t="s">
        <v>21</v>
      </c>
      <c r="B24" s="16">
        <f>B10+B11+B12</f>
        <v>0</v>
      </c>
    </row>
    <row r="25" spans="1:8" x14ac:dyDescent="0.3">
      <c r="A25" s="1" t="s">
        <v>22</v>
      </c>
      <c r="B25" s="16">
        <f>MAX(0,B23-B24)</f>
        <v>0</v>
      </c>
    </row>
    <row r="27" spans="1:8" x14ac:dyDescent="0.3">
      <c r="A27" s="23" t="s">
        <v>58</v>
      </c>
      <c r="B27" s="18"/>
      <c r="C27" s="18"/>
      <c r="D27" s="18"/>
      <c r="E27" s="18"/>
      <c r="F27" s="18"/>
      <c r="G27" s="18"/>
      <c r="H27" s="18"/>
    </row>
    <row r="29" spans="1:8" ht="19.95" customHeight="1" x14ac:dyDescent="0.3">
      <c r="A29" s="17" t="s">
        <v>59</v>
      </c>
      <c r="B29" s="18"/>
      <c r="C29" s="18"/>
      <c r="D29" s="18"/>
      <c r="E29" s="18"/>
      <c r="F29" s="18"/>
      <c r="G29" s="18"/>
      <c r="H29" s="18"/>
    </row>
    <row r="30" spans="1:8" x14ac:dyDescent="0.3">
      <c r="A30" s="19" t="s">
        <v>68</v>
      </c>
      <c r="B30" s="20"/>
      <c r="C30" s="20"/>
      <c r="D30" s="20"/>
      <c r="E30" s="20"/>
      <c r="F30" s="20"/>
      <c r="G30" s="20"/>
      <c r="H30" s="20"/>
    </row>
    <row r="31" spans="1:8" x14ac:dyDescent="0.3">
      <c r="A31" s="20"/>
      <c r="B31" s="20"/>
      <c r="C31" s="20"/>
      <c r="D31" s="20"/>
      <c r="E31" s="20"/>
      <c r="F31" s="20"/>
      <c r="G31" s="20"/>
      <c r="H31" s="20"/>
    </row>
    <row r="32" spans="1:8" x14ac:dyDescent="0.3">
      <c r="A32" s="20"/>
      <c r="B32" s="20"/>
      <c r="C32" s="20"/>
      <c r="D32" s="20"/>
      <c r="E32" s="20"/>
      <c r="F32" s="20"/>
      <c r="G32" s="20"/>
      <c r="H32" s="20"/>
    </row>
    <row r="33" spans="1:8" x14ac:dyDescent="0.3">
      <c r="A33" s="20"/>
      <c r="B33" s="20"/>
      <c r="C33" s="20"/>
      <c r="D33" s="20"/>
      <c r="E33" s="20"/>
      <c r="F33" s="20"/>
      <c r="G33" s="20"/>
      <c r="H33" s="20"/>
    </row>
    <row r="34" spans="1:8" x14ac:dyDescent="0.3">
      <c r="A34" s="20"/>
      <c r="B34" s="20"/>
      <c r="C34" s="20"/>
      <c r="D34" s="20"/>
      <c r="E34" s="20"/>
      <c r="F34" s="20"/>
      <c r="G34" s="20"/>
      <c r="H34" s="20"/>
    </row>
  </sheetData>
  <mergeCells count="8">
    <mergeCell ref="A1:H1"/>
    <mergeCell ref="A27:H27"/>
    <mergeCell ref="A30:H34"/>
    <mergeCell ref="A4:H4"/>
    <mergeCell ref="A29:H29"/>
    <mergeCell ref="A2:H2"/>
    <mergeCell ref="A19:H19"/>
    <mergeCell ref="A14:H14"/>
  </mergeCells>
  <dataValidations count="1">
    <dataValidation type="list" sqref="B15:B16" xr:uid="{00000000-0002-0000-0600-000000000000}">
      <formula1>"Yes,No"</formula1>
    </dataValidation>
  </dataValidation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Start Here</vt:lpstr>
      <vt:lpstr>Dashboard</vt:lpstr>
      <vt:lpstr>Notes &amp; Disclaimer</vt:lpstr>
      <vt:lpstr>US</vt:lpstr>
      <vt:lpstr>Canada</vt:lpstr>
      <vt:lpstr>Australia</vt:lpstr>
      <vt:lpstr>UK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 j</cp:lastModifiedBy>
  <dcterms:created xsi:type="dcterms:W3CDTF">2026-03-03T16:39:28Z</dcterms:created>
  <dcterms:modified xsi:type="dcterms:W3CDTF">2026-03-03T16:50:41Z</dcterms:modified>
</cp:coreProperties>
</file>