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7"/>
  <workbookPr autoCompressPictures="0"/>
  <mc:AlternateContent xmlns:mc="http://schemas.openxmlformats.org/markup-compatibility/2006">
    <mc:Choice Requires="x15">
      <x15ac:absPath xmlns:x15ac="http://schemas.microsoft.com/office/spreadsheetml/2010/11/ac" url="C:\Users\Monika\Documents\"/>
    </mc:Choice>
  </mc:AlternateContent>
  <xr:revisionPtr revIDLastSave="0" documentId="13_ncr:1_{21AD95EE-D5DD-460B-A929-F942EF51EB0A}" xr6:coauthVersionLast="47" xr6:coauthVersionMax="47" xr10:uidLastSave="{00000000-0000-0000-0000-000000000000}"/>
  <bookViews>
    <workbookView xWindow="-108" yWindow="-108" windowWidth="23256" windowHeight="12576" tabRatio="788" activeTab="4" xr2:uid="{00000000-000D-0000-FFFF-FFFF00000000}"/>
  </bookViews>
  <sheets>
    <sheet name="How to use this template" sheetId="14" r:id="rId1"/>
    <sheet name="Cashflow" sheetId="1" r:id="rId2"/>
    <sheet name="Balance Statement" sheetId="3" r:id="rId3"/>
    <sheet name="RRSP &amp; Credit" sheetId="12" r:id="rId4"/>
    <sheet name="Overview Rentals" sheetId="11" r:id="rId5"/>
    <sheet name="Real Estate Balance Sheet" sheetId="10" r:id="rId6"/>
  </sheets>
  <definedNames>
    <definedName name="_xlnm.Print_Area" localSheetId="2">'Balance Statement'!$A$1:$E$37</definedName>
    <definedName name="_xlnm.Print_Area" localSheetId="4">'Overview Rentals'!$A$4:$I$18</definedName>
    <definedName name="_xlnm.Print_Area" localSheetId="5">'Real Estate Balance Sheet'!$A$4:$I$28</definedName>
    <definedName name="_xlnm.Print_Area" localSheetId="3">'RRSP &amp; Credit'!$A$2:$D$83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9" i="10" l="1"/>
  <c r="A3" i="10"/>
  <c r="B7" i="11"/>
  <c r="B8" i="11"/>
  <c r="B9" i="11"/>
  <c r="B10" i="11"/>
  <c r="B11" i="11"/>
  <c r="B12" i="11"/>
  <c r="B13" i="11"/>
  <c r="B14" i="11"/>
  <c r="A3" i="11"/>
  <c r="C61" i="12"/>
  <c r="B43" i="12"/>
  <c r="B47" i="12"/>
  <c r="B46" i="12"/>
  <c r="B45" i="12"/>
  <c r="B44" i="12"/>
  <c r="D34" i="12"/>
  <c r="D35" i="12"/>
  <c r="D36" i="12"/>
  <c r="D37" i="12"/>
  <c r="D38" i="12"/>
  <c r="D39" i="12"/>
  <c r="D33" i="12"/>
  <c r="B34" i="12"/>
  <c r="B35" i="12"/>
  <c r="B36" i="12"/>
  <c r="B37" i="12"/>
  <c r="B38" i="12"/>
  <c r="B39" i="12"/>
  <c r="D8" i="12"/>
  <c r="D9" i="12"/>
  <c r="D10" i="12"/>
  <c r="D11" i="12"/>
  <c r="D12" i="12"/>
  <c r="D13" i="12"/>
  <c r="D14" i="12"/>
  <c r="D15" i="12"/>
  <c r="D16" i="12"/>
  <c r="D17" i="12"/>
  <c r="D18" i="12"/>
  <c r="D19" i="12"/>
  <c r="D20" i="12"/>
  <c r="D21" i="12"/>
  <c r="D22" i="12"/>
  <c r="D7" i="12"/>
  <c r="B13" i="3"/>
  <c r="J14" i="3"/>
  <c r="C35" i="1"/>
  <c r="C36" i="1"/>
  <c r="C37" i="1"/>
  <c r="B6" i="11" l="1"/>
  <c r="C33" i="1"/>
  <c r="C32" i="1"/>
  <c r="D10" i="11"/>
  <c r="B32" i="12"/>
  <c r="B33" i="12"/>
  <c r="D45" i="12"/>
  <c r="D44" i="12"/>
  <c r="D43" i="12"/>
  <c r="H6" i="11"/>
  <c r="H7" i="11"/>
  <c r="D32" i="12"/>
  <c r="D40" i="12" s="1"/>
  <c r="F6" i="11"/>
  <c r="F7" i="11"/>
  <c r="F8" i="11"/>
  <c r="F9" i="11"/>
  <c r="F10" i="11"/>
  <c r="F11" i="11"/>
  <c r="F12" i="11"/>
  <c r="F13" i="11"/>
  <c r="F14" i="11"/>
  <c r="B15" i="1"/>
  <c r="H8" i="11"/>
  <c r="H9" i="11"/>
  <c r="H10" i="11"/>
  <c r="H11" i="11"/>
  <c r="H12" i="11"/>
  <c r="H13" i="11"/>
  <c r="H14" i="11"/>
  <c r="B32" i="3"/>
  <c r="D6" i="11"/>
  <c r="D7" i="11"/>
  <c r="D9" i="11"/>
  <c r="D11" i="11"/>
  <c r="D12" i="11"/>
  <c r="D13" i="11"/>
  <c r="D14" i="11"/>
  <c r="C70" i="12"/>
  <c r="B8" i="3" s="1"/>
  <c r="G13" i="10"/>
  <c r="F13" i="10"/>
  <c r="E8" i="3" s="1"/>
  <c r="D13" i="10"/>
  <c r="B18" i="3" s="1"/>
  <c r="C8" i="10"/>
  <c r="G25" i="10"/>
  <c r="F25" i="10"/>
  <c r="F27" i="10" s="1"/>
  <c r="D25" i="10"/>
  <c r="E25" i="10"/>
  <c r="B6" i="1" s="1"/>
  <c r="C10" i="1" s="1"/>
  <c r="E13" i="10"/>
  <c r="H12" i="10"/>
  <c r="H11" i="10"/>
  <c r="H10" i="10"/>
  <c r="H9" i="10"/>
  <c r="C12" i="10"/>
  <c r="C11" i="10"/>
  <c r="C10" i="10"/>
  <c r="E14" i="11"/>
  <c r="E13" i="11"/>
  <c r="E12" i="11"/>
  <c r="E11" i="11"/>
  <c r="E10" i="11"/>
  <c r="E9" i="11"/>
  <c r="E8" i="11"/>
  <c r="E7" i="11"/>
  <c r="E6" i="11"/>
  <c r="C24" i="10"/>
  <c r="C23" i="10"/>
  <c r="C22" i="10"/>
  <c r="C21" i="10"/>
  <c r="C20" i="10"/>
  <c r="C19" i="10"/>
  <c r="C18" i="10"/>
  <c r="H24" i="10"/>
  <c r="H23" i="10"/>
  <c r="H22" i="10"/>
  <c r="H21" i="10"/>
  <c r="H20" i="10"/>
  <c r="H19" i="10"/>
  <c r="H18" i="10"/>
  <c r="C40" i="12"/>
  <c r="E13" i="3" s="1"/>
  <c r="D23" i="12"/>
  <c r="B12" i="3" s="1"/>
  <c r="B14" i="3" s="1"/>
  <c r="C48" i="12"/>
  <c r="E17" i="3" s="1"/>
  <c r="B7" i="3"/>
  <c r="B9" i="3" s="1"/>
  <c r="D70" i="12"/>
  <c r="C29" i="1"/>
  <c r="C31" i="1"/>
  <c r="C34" i="1"/>
  <c r="H17" i="10"/>
  <c r="H16" i="10"/>
  <c r="H8" i="10"/>
  <c r="C17" i="10"/>
  <c r="C16" i="10"/>
  <c r="G16" i="11"/>
  <c r="B48" i="12"/>
  <c r="A28" i="12"/>
  <c r="A3" i="12"/>
  <c r="A2" i="3"/>
  <c r="A2" i="1"/>
  <c r="C2" i="1"/>
  <c r="B2" i="1"/>
  <c r="E27" i="10"/>
  <c r="G27" i="10"/>
  <c r="D27" i="10" l="1"/>
  <c r="H27" i="10" s="1"/>
  <c r="C25" i="10"/>
  <c r="C13" i="10"/>
  <c r="H25" i="10"/>
  <c r="E7" i="3"/>
  <c r="E9" i="3" s="1"/>
  <c r="E34" i="3" s="1"/>
  <c r="H13" i="10"/>
  <c r="F16" i="11"/>
  <c r="B14" i="1" s="1"/>
  <c r="C23" i="1" s="1"/>
  <c r="D16" i="11"/>
  <c r="B17" i="3" s="1"/>
  <c r="B19" i="3" s="1"/>
  <c r="B34" i="3" s="1"/>
  <c r="H16" i="11"/>
  <c r="E16" i="11"/>
  <c r="B40" i="12"/>
  <c r="D48" i="12"/>
  <c r="D72" i="12" s="1"/>
  <c r="C72" i="12"/>
  <c r="B72" i="12"/>
  <c r="C27" i="10" l="1"/>
  <c r="C38" i="1"/>
  <c r="B40" i="1" s="1"/>
  <c r="B36" i="3"/>
</calcChain>
</file>

<file path=xl/sharedStrings.xml><?xml version="1.0" encoding="utf-8"?>
<sst xmlns="http://schemas.openxmlformats.org/spreadsheetml/2006/main" count="171" uniqueCount="139">
  <si>
    <t>Monthly Income Sources</t>
  </si>
  <si>
    <t>Monthly</t>
  </si>
  <si>
    <t>Totals</t>
  </si>
  <si>
    <t>Total Income Per Month</t>
  </si>
  <si>
    <t>EXPENSES</t>
  </si>
  <si>
    <t>Regular Monthly Expenses</t>
  </si>
  <si>
    <t>Groceries and other household supplies</t>
  </si>
  <si>
    <t>Clothing: including work clothes, sportswear, repairs, accessories</t>
  </si>
  <si>
    <t>Medical &amp; Dental Care: including prescription drugs and deductible expenses</t>
  </si>
  <si>
    <t>Consumer Credit Payments: department store accounts, credit cards etc.</t>
  </si>
  <si>
    <t>Other Personal Spending: grooming aids, haircuts, dry-cleaning, etc.</t>
  </si>
  <si>
    <t>Discretionary Spending</t>
  </si>
  <si>
    <t>Savings: retirement fund, vacation fund</t>
  </si>
  <si>
    <t>Educational Expenses: tuitions, books, materials</t>
  </si>
  <si>
    <t>Entertainment: dining, theatre tickets, printed materials, etc.</t>
  </si>
  <si>
    <t>Gifts: special occasions, charitable donations, etc.</t>
  </si>
  <si>
    <t>Miscellaneous: long-distance phone/fax calls, lunches &amp; snacks, indulgences....</t>
  </si>
  <si>
    <t>Annually</t>
  </si>
  <si>
    <t>Recreational and/or club memberships: paid quarterly</t>
  </si>
  <si>
    <t>Furniture &amp; Appliance Purchases &amp; Repairs: occasional expenses</t>
  </si>
  <si>
    <t>Total Expenses Per Month</t>
  </si>
  <si>
    <t>ASSETS</t>
  </si>
  <si>
    <t>TOTAL Deposit Accounts</t>
  </si>
  <si>
    <t>TOTAL Investments</t>
  </si>
  <si>
    <t>Goods and Chattels</t>
  </si>
  <si>
    <t>Gold, Silver, Diamonds, Jewelry</t>
  </si>
  <si>
    <t>Furniture &amp; Appliances</t>
  </si>
  <si>
    <t>Business Equipment</t>
  </si>
  <si>
    <t>TOTAL Goods and Chattels</t>
  </si>
  <si>
    <t>LIABILITIES</t>
  </si>
  <si>
    <t>TOTAL Accounts Payable</t>
  </si>
  <si>
    <t>TOTAL ASSETS</t>
  </si>
  <si>
    <t>TOTAL LIABILITIES</t>
  </si>
  <si>
    <t xml:space="preserve"> </t>
  </si>
  <si>
    <t xml:space="preserve">                </t>
  </si>
  <si>
    <t>Deposit Accounts (banks,trust co.'s, etc.)</t>
  </si>
  <si>
    <t>Appendix A</t>
  </si>
  <si>
    <t>Appendix B</t>
  </si>
  <si>
    <t>Credit Status</t>
  </si>
  <si>
    <t>Payments</t>
  </si>
  <si>
    <t xml:space="preserve">Current </t>
  </si>
  <si>
    <t>Balance</t>
  </si>
  <si>
    <t>Credit Cards</t>
  </si>
  <si>
    <t>TOTALS for Credit Cards</t>
  </si>
  <si>
    <t>Chequing/Savings Accounts</t>
  </si>
  <si>
    <t>Totals for Credit Status</t>
  </si>
  <si>
    <t>#</t>
  </si>
  <si>
    <t>TOTALS FOR ALL REVENUE PROPERTIES</t>
  </si>
  <si>
    <t>Property Address &amp; Mortgage Information:</t>
  </si>
  <si>
    <t>Equity</t>
  </si>
  <si>
    <t>Rent</t>
  </si>
  <si>
    <t>Real Estate Assets</t>
  </si>
  <si>
    <t>Monthly Pmt.</t>
  </si>
  <si>
    <t>Loan to Value</t>
  </si>
  <si>
    <t>Real Estate Liabilities</t>
  </si>
  <si>
    <t>TOTALS for Chequing/Savings Accounts</t>
  </si>
  <si>
    <t>Credit Limit</t>
  </si>
  <si>
    <t>Joint Chequing/Savings Accounts</t>
  </si>
  <si>
    <t xml:space="preserve">Revenue property rental income </t>
  </si>
  <si>
    <t>TOTAL for Lines of Credit</t>
  </si>
  <si>
    <t xml:space="preserve">TOTALS for Joint Chequing/Savings Accounts </t>
  </si>
  <si>
    <t xml:space="preserve">Life Insurance </t>
  </si>
  <si>
    <t>Real Estate Portfolio</t>
  </si>
  <si>
    <t>Rental Property Portfolio (Appendix C)</t>
  </si>
  <si>
    <t>Current Value</t>
  </si>
  <si>
    <t>Mortgage Balance</t>
  </si>
  <si>
    <t>Totals for all Real Estate</t>
  </si>
  <si>
    <t>Total Rental Property</t>
  </si>
  <si>
    <t>Total Personal Real Estate Owned</t>
  </si>
  <si>
    <t>Rental Properties:</t>
  </si>
  <si>
    <t>Personal Properties:</t>
  </si>
  <si>
    <t xml:space="preserve">TOTAL Real Estate Portfolio </t>
  </si>
  <si>
    <t>Principal Residence and other property (Appendix D)</t>
  </si>
  <si>
    <t xml:space="preserve">Mortgages </t>
  </si>
  <si>
    <t xml:space="preserve">Rental Properties (See Appendix C) </t>
  </si>
  <si>
    <t>Principle Residence (See Appendix D)</t>
  </si>
  <si>
    <t xml:space="preserve">TOTAL Mortgages </t>
  </si>
  <si>
    <t xml:space="preserve">TOTAL Mutual Fund RRSP’s / RRIF’s </t>
  </si>
  <si>
    <t>Chequing/Savings Accounts  (Appendix B)</t>
  </si>
  <si>
    <t>Joint Accounts (Appendix B)</t>
  </si>
  <si>
    <t>RRSP/Investment Portfolio (Appendix A)</t>
  </si>
  <si>
    <t>Antiques</t>
  </si>
  <si>
    <t>Lines of Credit, Personal Loans:</t>
  </si>
  <si>
    <t xml:space="preserve">Mutual Funds,  RRSP’s / RRIF’s, Stocks, Bonds, GIC's </t>
  </si>
  <si>
    <t>TOTAL Loans, Lines of Credit</t>
  </si>
  <si>
    <t>Consumer Loans (Appendix B)</t>
  </si>
  <si>
    <t>Accounts Payable (See Appendix B)</t>
  </si>
  <si>
    <t xml:space="preserve">Net Worth </t>
  </si>
  <si>
    <t>Investments (registered &amp; unregistered funds)</t>
  </si>
  <si>
    <t>Funds</t>
  </si>
  <si>
    <t>Available</t>
  </si>
  <si>
    <t>INSURANCE</t>
  </si>
  <si>
    <t>Policy Number</t>
  </si>
  <si>
    <t>Sum Insured</t>
  </si>
  <si>
    <t>Electronics</t>
  </si>
  <si>
    <t>Min Pymt</t>
  </si>
  <si>
    <t>Date of Last Statement</t>
  </si>
  <si>
    <t>Home Insurance: paid annually</t>
  </si>
  <si>
    <t>Auto Insurance: paid annually</t>
  </si>
  <si>
    <t>Utilities:  heat, light, telephone, internet,alarm, cable, city tax</t>
  </si>
  <si>
    <t>Life Insurance premiums</t>
  </si>
  <si>
    <t>Total Less Loans</t>
  </si>
  <si>
    <t>Automobile transportation: gasoline, maintenance, parking</t>
  </si>
  <si>
    <t>(divide total tax by 12)</t>
  </si>
  <si>
    <t>Share Price</t>
  </si>
  <si>
    <t xml:space="preserve">Other Income: </t>
  </si>
  <si>
    <t>Employment or business income</t>
  </si>
  <si>
    <t>Name Insured</t>
  </si>
  <si>
    <t>Vehicle 2</t>
  </si>
  <si>
    <t>Vehicle 1</t>
  </si>
  <si>
    <t>Rental Property Address 1</t>
  </si>
  <si>
    <t>This template has been made to help you with your investment binder for your banker.  There are many formulas in place so that you do not need to do much math and can easily update it.  You will only need to enter information once and the formulas will automatically apply that number in other sheets.
You will note that some numbers are black and some blue.  Blue print is where you can add your own information.  Black print is reserved for cells that have formulas (the information is coming from somewhere else in the binder to save you time).  So, leave the black ones alone.  Note: a lot of the information comes from the appendices, so you may want to start on the last page (furthest right) and work your way to the left).
When printing, be sure to select "print black ink only" under page setup so that you don't have a black &amp; blue binder!
Have Fun!</t>
  </si>
  <si>
    <t>Investment Binder Networth</t>
  </si>
  <si>
    <r>
      <t>Occasional Expenses</t>
    </r>
    <r>
      <rPr>
        <sz val="10"/>
        <rFont val="Montserrat Light"/>
      </rPr>
      <t xml:space="preserve"> (including regular non-monthly payments)</t>
    </r>
  </si>
  <si>
    <r>
      <t>MONTHLY RESIDUAL INCOME:</t>
    </r>
    <r>
      <rPr>
        <sz val="11"/>
        <rFont val="Montserrat Light"/>
      </rPr>
      <t xml:space="preserve">   </t>
    </r>
  </si>
  <si>
    <t>Monthly Cash Flow Summary</t>
  </si>
  <si>
    <t>(Your Name)</t>
  </si>
  <si>
    <t>Other</t>
  </si>
  <si>
    <t>INCOME</t>
  </si>
  <si>
    <t>Revenue property debt servicing and all other expenses 
(See Appendix C)</t>
  </si>
  <si>
    <t>Principle residence mortgage (rent or mortgage payments) 
(See Appendix D)</t>
  </si>
  <si>
    <t>Balance Statement</t>
  </si>
  <si>
    <t>#############</t>
  </si>
  <si>
    <t xml:space="preserve">RRSP / RRIF / Investment Portfolio of </t>
  </si>
  <si>
    <t>No. of Shares</t>
  </si>
  <si>
    <t>Account No.</t>
  </si>
  <si>
    <t>Contact</t>
  </si>
  <si>
    <t>Telephone No.</t>
  </si>
  <si>
    <t>Company</t>
  </si>
  <si>
    <t>Appendix C</t>
  </si>
  <si>
    <t>Overview of Rental Properties</t>
  </si>
  <si>
    <t>Year
Purch</t>
  </si>
  <si>
    <t>Mortgage Payment</t>
  </si>
  <si>
    <t>Taxes (Monthly)</t>
  </si>
  <si>
    <t>Rental Income</t>
  </si>
  <si>
    <t>Appendix D</t>
  </si>
  <si>
    <t>Real Estate Assets and Liabilities</t>
  </si>
  <si>
    <t xml:space="preserve"> Principle Residence:  your address </t>
  </si>
  <si>
    <t>Address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</si>
</sst>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_(* #,##0.00_);_(* \(#,##0.00\);_(* &quot;-&quot;??_);_(@_)"/>
    <numFmt numFmtId="165" formatCode="&quot;$&quot;#,##0.00"/>
    <numFmt numFmtId="166" formatCode="[$-F800]dddd\,\ mmmm\ dd\,\ yyyy"/>
    <numFmt numFmtId="167" formatCode="0.0%"/>
    <numFmt numFmtId="168" formatCode="_(* #,##0_);_(* \(#,##0\);_(* &quot;-&quot;??_);_(@_)"/>
  </numFmts>
  <fonts count="31" x14ac:knownFonts="1">
    <font>
      <sz val="10"/>
      <name val="Arial"/>
    </font>
    <font>
      <sz val="10"/>
      <name val="Arial"/>
      <family val="2"/>
    </font>
    <font>
      <sz val="8"/>
      <name val="Arial"/>
      <family val="2"/>
    </font>
    <font>
      <sz val="10"/>
      <name val="Arial"/>
      <family val="2"/>
    </font>
    <font>
      <sz val="14"/>
      <color rgb="FF000000"/>
      <name val="Arial"/>
      <family val="2"/>
    </font>
    <font>
      <sz val="10"/>
      <color rgb="FFFFD700"/>
      <name val="Montserrat SemiBold"/>
    </font>
    <font>
      <sz val="12"/>
      <color rgb="FFFFD700"/>
      <name val="Montserrat SemiBold"/>
    </font>
    <font>
      <sz val="18"/>
      <color rgb="FFFFD700"/>
      <name val="Montserrat SemiBold"/>
    </font>
    <font>
      <sz val="20"/>
      <color rgb="FFFFD700"/>
      <name val="Montserrat SemiBold"/>
    </font>
    <font>
      <sz val="10"/>
      <name val="Montserrat Light"/>
    </font>
    <font>
      <b/>
      <sz val="10"/>
      <name val="Montserrat Light"/>
    </font>
    <font>
      <sz val="10"/>
      <color indexed="12"/>
      <name val="Montserrat Light"/>
    </font>
    <font>
      <b/>
      <sz val="11"/>
      <name val="Montserrat Light"/>
    </font>
    <font>
      <sz val="11"/>
      <name val="Montserrat Light"/>
    </font>
    <font>
      <sz val="10"/>
      <color theme="1"/>
      <name val="Montserrat Light"/>
    </font>
    <font>
      <b/>
      <sz val="11"/>
      <color theme="1"/>
      <name val="Montserrat Light"/>
    </font>
    <font>
      <sz val="9"/>
      <name val="Montserrat Light"/>
    </font>
    <font>
      <sz val="10"/>
      <color rgb="FF0070C0"/>
      <name val="Montserrat Light"/>
    </font>
    <font>
      <sz val="10"/>
      <color indexed="8"/>
      <name val="Montserrat Light"/>
    </font>
    <font>
      <sz val="10"/>
      <name val="Montserrat SemiBold"/>
    </font>
    <font>
      <b/>
      <sz val="12"/>
      <name val="Montserrat Light"/>
    </font>
    <font>
      <i/>
      <sz val="18"/>
      <color rgb="FFFFD700"/>
      <name val="Montserrat SemiBold"/>
    </font>
    <font>
      <sz val="18"/>
      <color rgb="FFFFD700"/>
      <name val="Montserrat Medium"/>
    </font>
    <font>
      <i/>
      <sz val="18"/>
      <color rgb="FFFFD700"/>
      <name val="Montserrat Medium"/>
    </font>
    <font>
      <sz val="13"/>
      <color rgb="FFFFD700"/>
      <name val="Montserrat SemiBold"/>
    </font>
    <font>
      <sz val="13"/>
      <color rgb="FFFFD700"/>
      <name val="Montserrat Medium"/>
    </font>
    <font>
      <b/>
      <sz val="10"/>
      <color theme="1"/>
      <name val="Montserrat Light"/>
    </font>
    <font>
      <b/>
      <sz val="10"/>
      <color indexed="12"/>
      <name val="Montserrat Light"/>
    </font>
    <font>
      <b/>
      <i/>
      <sz val="10"/>
      <color rgb="FFFF0000"/>
      <name val="Montserrat Light"/>
    </font>
    <font>
      <sz val="12"/>
      <name val="Montserrat Light"/>
    </font>
    <font>
      <sz val="10"/>
      <name val="Montserrat Medium"/>
    </font>
  </fonts>
  <fills count="4">
    <fill>
      <patternFill patternType="none"/>
    </fill>
    <fill>
      <patternFill patternType="gray125"/>
    </fill>
    <fill>
      <patternFill patternType="solid">
        <fgColor rgb="FF161616"/>
        <bgColor indexed="64"/>
      </patternFill>
    </fill>
    <fill>
      <patternFill patternType="solid">
        <fgColor rgb="FFFFF7D1"/>
        <bgColor indexed="64"/>
      </patternFill>
    </fill>
  </fills>
  <borders count="11">
    <border>
      <left/>
      <right/>
      <top/>
      <bottom/>
      <diagonal/>
    </border>
    <border>
      <left/>
      <right/>
      <top/>
      <bottom style="medium">
        <color auto="1"/>
      </bottom>
      <diagonal/>
    </border>
    <border>
      <left/>
      <right/>
      <top/>
      <bottom style="double">
        <color auto="1"/>
      </bottom>
      <diagonal/>
    </border>
    <border>
      <left/>
      <right/>
      <top style="medium">
        <color auto="1"/>
      </top>
      <bottom/>
      <diagonal/>
    </border>
    <border>
      <left/>
      <right/>
      <top/>
      <bottom style="thick">
        <color auto="1"/>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style="medium">
        <color auto="1"/>
      </top>
      <bottom style="thin">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s>
  <cellStyleXfs count="3">
    <xf numFmtId="0" fontId="0" fillId="0" borderId="0"/>
    <xf numFmtId="164" fontId="3" fillId="0" borderId="0" applyFont="0" applyFill="0" applyBorder="0" applyAlignment="0" applyProtection="0"/>
    <xf numFmtId="9" fontId="3" fillId="0" borderId="0" applyFont="0" applyFill="0" applyBorder="0" applyAlignment="0" applyProtection="0"/>
  </cellStyleXfs>
  <cellXfs count="151">
    <xf numFmtId="0" fontId="0" fillId="0" borderId="0" xfId="0"/>
    <xf numFmtId="0" fontId="1" fillId="0" borderId="0" xfId="0" applyFont="1"/>
    <xf numFmtId="0" fontId="0" fillId="0" borderId="0" xfId="0" applyAlignment="1">
      <alignment horizontal="center"/>
    </xf>
    <xf numFmtId="0" fontId="4" fillId="0" borderId="0" xfId="0" applyFont="1" applyAlignment="1">
      <alignment horizontal="left" vertical="center" wrapText="1" readingOrder="1"/>
    </xf>
    <xf numFmtId="0" fontId="0" fillId="2" borderId="0" xfId="0" applyFill="1"/>
    <xf numFmtId="0" fontId="9" fillId="0" borderId="0" xfId="0" applyFont="1"/>
    <xf numFmtId="165" fontId="9" fillId="0" borderId="0" xfId="0" applyNumberFormat="1" applyFont="1"/>
    <xf numFmtId="0" fontId="10" fillId="0" borderId="1" xfId="0" applyFont="1" applyBorder="1" applyAlignment="1">
      <alignment vertical="top" wrapText="1"/>
    </xf>
    <xf numFmtId="165" fontId="10" fillId="0" borderId="1" xfId="0" applyNumberFormat="1" applyFont="1" applyBorder="1" applyAlignment="1">
      <alignment horizontal="right" vertical="top" wrapText="1"/>
    </xf>
    <xf numFmtId="0" fontId="9" fillId="0" borderId="0" xfId="0" applyFont="1" applyAlignment="1">
      <alignment horizontal="left" vertical="top" wrapText="1" indent="2"/>
    </xf>
    <xf numFmtId="165" fontId="9" fillId="0" borderId="0" xfId="0" applyNumberFormat="1" applyFont="1" applyAlignment="1">
      <alignment horizontal="right" vertical="top" wrapText="1" indent="2"/>
    </xf>
    <xf numFmtId="0" fontId="12" fillId="0" borderId="2" xfId="0" applyFont="1" applyBorder="1" applyAlignment="1">
      <alignment horizontal="left" vertical="top" wrapText="1" indent="2"/>
    </xf>
    <xf numFmtId="165" fontId="9" fillId="0" borderId="2" xfId="0" applyNumberFormat="1" applyFont="1" applyBorder="1" applyAlignment="1">
      <alignment horizontal="right" vertical="top" wrapText="1" indent="2"/>
    </xf>
    <xf numFmtId="0" fontId="10" fillId="0" borderId="0" xfId="0" applyFont="1" applyAlignment="1">
      <alignment horizontal="left" indent="2"/>
    </xf>
    <xf numFmtId="165" fontId="10" fillId="0" borderId="0" xfId="0" applyNumberFormat="1" applyFont="1" applyAlignment="1">
      <alignment horizontal="left" indent="2"/>
    </xf>
    <xf numFmtId="165" fontId="10" fillId="0" borderId="1" xfId="0" applyNumberFormat="1" applyFont="1" applyBorder="1" applyAlignment="1">
      <alignment horizontal="left" indent="2"/>
    </xf>
    <xf numFmtId="0" fontId="9" fillId="0" borderId="3" xfId="0" applyFont="1" applyBorder="1" applyAlignment="1">
      <alignment horizontal="left" vertical="top" wrapText="1" indent="2"/>
    </xf>
    <xf numFmtId="0" fontId="9" fillId="0" borderId="0" xfId="0" applyFont="1" applyBorder="1" applyAlignment="1">
      <alignment horizontal="left" vertical="top" wrapText="1" indent="2"/>
    </xf>
    <xf numFmtId="165" fontId="10" fillId="0" borderId="2" xfId="0" applyNumberFormat="1" applyFont="1" applyBorder="1" applyAlignment="1">
      <alignment horizontal="right" vertical="top" wrapText="1" indent="2"/>
    </xf>
    <xf numFmtId="0" fontId="12" fillId="0" borderId="4" xfId="0" applyFont="1" applyBorder="1" applyAlignment="1">
      <alignment horizontal="left" vertical="top" wrapText="1" indent="2"/>
    </xf>
    <xf numFmtId="165" fontId="9" fillId="0" borderId="4" xfId="0" applyNumberFormat="1" applyFont="1" applyBorder="1"/>
    <xf numFmtId="165" fontId="15" fillId="0" borderId="4" xfId="0" applyNumberFormat="1" applyFont="1" applyBorder="1" applyAlignment="1">
      <alignment horizontal="right" vertical="top" wrapText="1"/>
    </xf>
    <xf numFmtId="165" fontId="12" fillId="0" borderId="2" xfId="0" applyNumberFormat="1" applyFont="1" applyBorder="1" applyAlignment="1">
      <alignment horizontal="right" vertical="top" wrapText="1"/>
    </xf>
    <xf numFmtId="165" fontId="9" fillId="0" borderId="0" xfId="0" applyNumberFormat="1" applyFont="1" applyBorder="1" applyAlignment="1" applyProtection="1">
      <alignment horizontal="right" vertical="top" wrapText="1" indent="2"/>
    </xf>
    <xf numFmtId="165" fontId="14" fillId="0" borderId="0" xfId="0" applyNumberFormat="1" applyFont="1" applyFill="1" applyAlignment="1" applyProtection="1">
      <alignment horizontal="right" vertical="top" wrapText="1" indent="2"/>
    </xf>
    <xf numFmtId="0" fontId="9" fillId="3" borderId="5" xfId="0" applyFont="1" applyFill="1" applyBorder="1" applyAlignment="1" applyProtection="1">
      <alignment horizontal="left" vertical="top" wrapText="1" indent="2"/>
      <protection locked="0"/>
    </xf>
    <xf numFmtId="0" fontId="9" fillId="3" borderId="6" xfId="0" applyFont="1" applyFill="1" applyBorder="1" applyAlignment="1" applyProtection="1">
      <alignment horizontal="left" vertical="top" wrapText="1" indent="2"/>
      <protection locked="0"/>
    </xf>
    <xf numFmtId="165" fontId="14" fillId="3" borderId="6" xfId="0" applyNumberFormat="1" applyFont="1" applyFill="1" applyBorder="1" applyAlignment="1" applyProtection="1">
      <alignment horizontal="right" vertical="top" wrapText="1" indent="2"/>
      <protection locked="0"/>
    </xf>
    <xf numFmtId="165" fontId="14" fillId="3" borderId="5" xfId="0" applyNumberFormat="1" applyFont="1" applyFill="1" applyBorder="1" applyAlignment="1" applyProtection="1">
      <alignment horizontal="right" vertical="top" wrapText="1" indent="2"/>
      <protection locked="0"/>
    </xf>
    <xf numFmtId="165" fontId="14" fillId="3" borderId="8" xfId="0" applyNumberFormat="1" applyFont="1" applyFill="1" applyBorder="1" applyAlignment="1" applyProtection="1">
      <alignment horizontal="right" vertical="top" wrapText="1" indent="2"/>
      <protection locked="0"/>
    </xf>
    <xf numFmtId="165" fontId="9" fillId="0" borderId="5" xfId="0" applyNumberFormat="1" applyFont="1" applyBorder="1" applyAlignment="1">
      <alignment horizontal="right" vertical="top" wrapText="1" indent="2"/>
    </xf>
    <xf numFmtId="165" fontId="10" fillId="0" borderId="5" xfId="0" applyNumberFormat="1" applyFont="1" applyBorder="1" applyAlignment="1">
      <alignment horizontal="right" vertical="top" wrapText="1" indent="2"/>
    </xf>
    <xf numFmtId="165" fontId="9" fillId="0" borderId="5" xfId="0" applyNumberFormat="1" applyFont="1" applyBorder="1" applyAlignment="1" applyProtection="1">
      <alignment horizontal="right" vertical="top" wrapText="1" indent="2"/>
    </xf>
    <xf numFmtId="165" fontId="10" fillId="0" borderId="7" xfId="0" applyNumberFormat="1" applyFont="1" applyBorder="1" applyAlignment="1">
      <alignment horizontal="right" vertical="top" wrapText="1" indent="2"/>
    </xf>
    <xf numFmtId="0" fontId="10" fillId="0" borderId="0" xfId="0" applyFont="1"/>
    <xf numFmtId="165" fontId="9" fillId="0" borderId="0" xfId="0" applyNumberFormat="1" applyFont="1" applyProtection="1"/>
    <xf numFmtId="0" fontId="14" fillId="3" borderId="5" xfId="0" applyFont="1" applyFill="1" applyBorder="1" applyProtection="1">
      <protection locked="0"/>
    </xf>
    <xf numFmtId="168" fontId="17" fillId="3" borderId="5" xfId="1" applyNumberFormat="1" applyFont="1" applyFill="1" applyBorder="1" applyProtection="1">
      <protection locked="0"/>
    </xf>
    <xf numFmtId="165" fontId="11" fillId="3" borderId="5" xfId="0" applyNumberFormat="1" applyFont="1" applyFill="1" applyBorder="1" applyProtection="1">
      <protection locked="0"/>
    </xf>
    <xf numFmtId="0" fontId="9" fillId="0" borderId="0" xfId="0" applyNumberFormat="1" applyFont="1"/>
    <xf numFmtId="0" fontId="18" fillId="0" borderId="0" xfId="0" applyFont="1"/>
    <xf numFmtId="0" fontId="14" fillId="3" borderId="6" xfId="0" applyFont="1" applyFill="1" applyBorder="1" applyProtection="1">
      <protection locked="0"/>
    </xf>
    <xf numFmtId="168" fontId="17" fillId="3" borderId="6" xfId="1" applyNumberFormat="1" applyFont="1" applyFill="1" applyBorder="1" applyProtection="1">
      <protection locked="0"/>
    </xf>
    <xf numFmtId="165" fontId="11" fillId="3" borderId="6" xfId="0" applyNumberFormat="1" applyFont="1" applyFill="1" applyBorder="1" applyProtection="1">
      <protection locked="0"/>
    </xf>
    <xf numFmtId="165" fontId="10" fillId="0" borderId="0" xfId="0" applyNumberFormat="1" applyFont="1" applyProtection="1"/>
    <xf numFmtId="165" fontId="10" fillId="0" borderId="0" xfId="0" applyNumberFormat="1" applyFont="1"/>
    <xf numFmtId="165" fontId="11" fillId="3" borderId="7" xfId="0" applyNumberFormat="1" applyFont="1" applyFill="1" applyBorder="1" applyProtection="1">
      <protection locked="0"/>
    </xf>
    <xf numFmtId="0" fontId="9" fillId="0" borderId="0" xfId="0" applyFont="1" applyAlignment="1">
      <alignment horizontal="left"/>
    </xf>
    <xf numFmtId="0" fontId="9" fillId="0" borderId="0" xfId="0" applyFont="1" applyAlignment="1"/>
    <xf numFmtId="0" fontId="9" fillId="0" borderId="5" xfId="0" applyFont="1" applyBorder="1"/>
    <xf numFmtId="165" fontId="14" fillId="3" borderId="5" xfId="0" applyNumberFormat="1" applyFont="1" applyFill="1" applyBorder="1" applyProtection="1">
      <protection locked="0"/>
    </xf>
    <xf numFmtId="0" fontId="9" fillId="0" borderId="6" xfId="0" applyFont="1" applyBorder="1"/>
    <xf numFmtId="165" fontId="14" fillId="3" borderId="6" xfId="0" applyNumberFormat="1" applyFont="1" applyFill="1" applyBorder="1" applyProtection="1">
      <protection locked="0"/>
    </xf>
    <xf numFmtId="165" fontId="14" fillId="3" borderId="7" xfId="0" applyNumberFormat="1" applyFont="1" applyFill="1" applyBorder="1" applyProtection="1">
      <protection locked="0"/>
    </xf>
    <xf numFmtId="0" fontId="19" fillId="0" borderId="0" xfId="0" applyFont="1"/>
    <xf numFmtId="165" fontId="19" fillId="0" borderId="0" xfId="0" applyNumberFormat="1" applyFont="1"/>
    <xf numFmtId="166" fontId="9" fillId="0" borderId="0" xfId="0" applyNumberFormat="1" applyFont="1" applyAlignment="1"/>
    <xf numFmtId="0" fontId="10" fillId="0" borderId="0" xfId="0" applyFont="1" applyBorder="1" applyAlignment="1">
      <alignment vertical="top" wrapText="1"/>
    </xf>
    <xf numFmtId="44" fontId="9" fillId="0" borderId="0" xfId="0" applyNumberFormat="1" applyFont="1" applyBorder="1" applyAlignment="1">
      <alignment horizontal="center"/>
    </xf>
    <xf numFmtId="0" fontId="9" fillId="0" borderId="0" xfId="0" applyFont="1" applyAlignment="1">
      <alignment horizontal="center"/>
    </xf>
    <xf numFmtId="44" fontId="9" fillId="0" borderId="0" xfId="0" applyNumberFormat="1" applyFont="1" applyFill="1" applyBorder="1" applyAlignment="1">
      <alignment horizontal="center"/>
    </xf>
    <xf numFmtId="166" fontId="10" fillId="0" borderId="0" xfId="0" applyNumberFormat="1" applyFont="1" applyBorder="1" applyAlignment="1">
      <alignment horizontal="left"/>
    </xf>
    <xf numFmtId="44" fontId="9" fillId="0" borderId="0" xfId="0" applyNumberFormat="1" applyFont="1"/>
    <xf numFmtId="0" fontId="9" fillId="0" borderId="0" xfId="0" applyFont="1" applyBorder="1"/>
    <xf numFmtId="44" fontId="10" fillId="0" borderId="0" xfId="0" applyNumberFormat="1" applyFont="1" applyBorder="1"/>
    <xf numFmtId="0" fontId="10" fillId="0" borderId="0" xfId="0" applyFont="1" applyFill="1" applyBorder="1"/>
    <xf numFmtId="0" fontId="6" fillId="2" borderId="0" xfId="0" applyFont="1" applyFill="1" applyAlignment="1">
      <alignment horizontal="right"/>
    </xf>
    <xf numFmtId="165" fontId="6" fillId="2" borderId="0" xfId="0" applyNumberFormat="1" applyFont="1" applyFill="1"/>
    <xf numFmtId="0" fontId="7" fillId="2" borderId="0" xfId="0" applyFont="1" applyFill="1" applyAlignment="1">
      <alignment horizontal="right" vertical="center"/>
    </xf>
    <xf numFmtId="166" fontId="9" fillId="0" borderId="0" xfId="0" applyNumberFormat="1" applyFont="1" applyAlignment="1">
      <alignment horizontal="center"/>
    </xf>
    <xf numFmtId="44" fontId="14" fillId="0" borderId="0" xfId="0" applyNumberFormat="1" applyFont="1" applyFill="1" applyBorder="1" applyProtection="1"/>
    <xf numFmtId="165" fontId="10" fillId="0" borderId="0" xfId="0" applyNumberFormat="1" applyFont="1" applyBorder="1" applyAlignment="1">
      <alignment vertical="top"/>
    </xf>
    <xf numFmtId="0" fontId="10" fillId="0" borderId="0" xfId="0" applyFont="1" applyBorder="1" applyAlignment="1">
      <alignment wrapText="1"/>
    </xf>
    <xf numFmtId="0" fontId="14" fillId="3" borderId="0" xfId="0" applyFont="1" applyFill="1" applyBorder="1" applyAlignment="1" applyProtection="1">
      <alignment vertical="top" wrapText="1"/>
      <protection locked="0"/>
    </xf>
    <xf numFmtId="15" fontId="14" fillId="3" borderId="0" xfId="0" applyNumberFormat="1" applyFont="1" applyFill="1" applyBorder="1" applyAlignment="1" applyProtection="1">
      <alignment vertical="top" wrapText="1"/>
      <protection locked="0"/>
    </xf>
    <xf numFmtId="0" fontId="14" fillId="0" borderId="0" xfId="0" applyFont="1" applyBorder="1"/>
    <xf numFmtId="0" fontId="14" fillId="3" borderId="0" xfId="0" applyFont="1" applyFill="1" applyBorder="1" applyProtection="1">
      <protection locked="0"/>
    </xf>
    <xf numFmtId="0" fontId="14" fillId="3" borderId="0" xfId="0" applyFont="1" applyFill="1" applyBorder="1" applyAlignment="1" applyProtection="1">
      <alignment horizontal="left" vertical="top" wrapText="1" indent="2"/>
      <protection locked="0"/>
    </xf>
    <xf numFmtId="0" fontId="14" fillId="3" borderId="0" xfId="0" applyFont="1" applyFill="1" applyBorder="1" applyAlignment="1" applyProtection="1">
      <alignment horizontal="right" vertical="top" wrapText="1"/>
      <protection locked="0"/>
    </xf>
    <xf numFmtId="165" fontId="14" fillId="3" borderId="0" xfId="0" applyNumberFormat="1" applyFont="1" applyFill="1" applyBorder="1" applyProtection="1">
      <protection locked="0"/>
    </xf>
    <xf numFmtId="0" fontId="14" fillId="3" borderId="0" xfId="0" applyFont="1" applyFill="1" applyBorder="1" applyAlignment="1" applyProtection="1">
      <alignment horizontal="right"/>
      <protection locked="0"/>
    </xf>
    <xf numFmtId="0" fontId="14" fillId="3" borderId="6" xfId="0" applyFont="1" applyFill="1" applyBorder="1" applyAlignment="1" applyProtection="1">
      <alignment horizontal="left" vertical="top" wrapText="1"/>
      <protection locked="0"/>
    </xf>
    <xf numFmtId="0" fontId="14" fillId="3" borderId="6" xfId="0" applyFont="1" applyFill="1" applyBorder="1" applyAlignment="1" applyProtection="1">
      <alignment vertical="top" wrapText="1"/>
      <protection locked="0"/>
    </xf>
    <xf numFmtId="15" fontId="14" fillId="3" borderId="6" xfId="0" applyNumberFormat="1" applyFont="1" applyFill="1" applyBorder="1" applyAlignment="1" applyProtection="1">
      <alignment vertical="top" wrapText="1"/>
      <protection locked="0"/>
    </xf>
    <xf numFmtId="0" fontId="14" fillId="3" borderId="6" xfId="0" applyFont="1" applyFill="1" applyBorder="1" applyAlignment="1" applyProtection="1">
      <alignment horizontal="left" vertical="top" wrapText="1" indent="2"/>
      <protection locked="0"/>
    </xf>
    <xf numFmtId="0" fontId="14" fillId="3" borderId="6" xfId="0" applyFont="1" applyFill="1" applyBorder="1" applyAlignment="1" applyProtection="1">
      <alignment horizontal="right" vertical="top" wrapText="1"/>
      <protection locked="0"/>
    </xf>
    <xf numFmtId="0" fontId="20" fillId="0" borderId="0" xfId="0" applyFont="1" applyBorder="1" applyAlignment="1">
      <alignment horizontal="center"/>
    </xf>
    <xf numFmtId="0" fontId="9" fillId="0" borderId="0" xfId="0" applyFont="1" applyBorder="1" applyAlignment="1">
      <alignment horizontal="center"/>
    </xf>
    <xf numFmtId="44" fontId="14" fillId="3" borderId="6" xfId="0" applyNumberFormat="1" applyFont="1" applyFill="1" applyBorder="1" applyProtection="1">
      <protection locked="0"/>
    </xf>
    <xf numFmtId="10" fontId="14" fillId="3" borderId="6" xfId="2" applyNumberFormat="1" applyFont="1" applyFill="1" applyBorder="1" applyProtection="1">
      <protection locked="0"/>
    </xf>
    <xf numFmtId="44" fontId="26" fillId="0" borderId="0" xfId="0" applyNumberFormat="1" applyFont="1" applyBorder="1"/>
    <xf numFmtId="0" fontId="9" fillId="0" borderId="0" xfId="0" applyFont="1" applyBorder="1" applyAlignment="1">
      <alignment horizontal="left" vertical="top" wrapText="1"/>
    </xf>
    <xf numFmtId="0" fontId="28" fillId="0" borderId="0" xfId="0" applyFont="1"/>
    <xf numFmtId="0" fontId="9" fillId="0" borderId="0" xfId="0" applyFont="1" applyAlignment="1">
      <alignment horizontal="center" vertical="center"/>
    </xf>
    <xf numFmtId="0" fontId="9"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vertical="center"/>
    </xf>
    <xf numFmtId="44" fontId="9" fillId="0" borderId="0" xfId="0" applyNumberFormat="1" applyFont="1" applyAlignment="1">
      <alignment vertical="center"/>
    </xf>
    <xf numFmtId="44" fontId="11" fillId="0" borderId="0" xfId="0" applyNumberFormat="1" applyFont="1" applyAlignment="1">
      <alignment vertical="center"/>
    </xf>
    <xf numFmtId="3" fontId="9" fillId="0" borderId="0" xfId="0" applyNumberFormat="1" applyFont="1" applyAlignment="1">
      <alignment horizontal="center" vertical="center"/>
    </xf>
    <xf numFmtId="0" fontId="10" fillId="0" borderId="0" xfId="0" applyFont="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44" fontId="9" fillId="0" borderId="0" xfId="0" applyNumberFormat="1" applyFont="1" applyBorder="1" applyAlignment="1">
      <alignment vertical="center"/>
    </xf>
    <xf numFmtId="0" fontId="9" fillId="0" borderId="6" xfId="0" applyFont="1" applyBorder="1" applyAlignment="1" applyProtection="1">
      <alignment vertical="center"/>
    </xf>
    <xf numFmtId="44" fontId="9" fillId="0" borderId="6" xfId="0" applyNumberFormat="1" applyFont="1" applyBorder="1" applyAlignment="1">
      <alignment vertical="center"/>
    </xf>
    <xf numFmtId="44" fontId="14" fillId="3" borderId="6" xfId="0" applyNumberFormat="1" applyFont="1" applyFill="1" applyBorder="1" applyAlignment="1" applyProtection="1">
      <alignment vertical="center"/>
      <protection locked="0"/>
    </xf>
    <xf numFmtId="166" fontId="14" fillId="3" borderId="6" xfId="0" applyNumberFormat="1" applyFont="1" applyFill="1" applyBorder="1" applyAlignment="1" applyProtection="1">
      <alignment horizontal="center" vertical="center"/>
      <protection locked="0"/>
    </xf>
    <xf numFmtId="0" fontId="26" fillId="0" borderId="0" xfId="0" applyFont="1" applyAlignment="1">
      <alignment horizontal="center" vertical="center" wrapText="1"/>
    </xf>
    <xf numFmtId="0" fontId="10" fillId="0" borderId="0" xfId="0" applyFont="1" applyBorder="1"/>
    <xf numFmtId="44" fontId="11" fillId="0" borderId="0" xfId="0" applyNumberFormat="1" applyFont="1" applyBorder="1" applyAlignment="1">
      <alignment vertical="center"/>
    </xf>
    <xf numFmtId="0" fontId="9" fillId="0" borderId="0" xfId="0" applyFont="1" applyBorder="1" applyAlignment="1">
      <alignment vertical="center"/>
    </xf>
    <xf numFmtId="0" fontId="10" fillId="0" borderId="0" xfId="0" applyFont="1" applyBorder="1" applyAlignment="1">
      <alignment horizontal="right" vertical="center"/>
    </xf>
    <xf numFmtId="167" fontId="18" fillId="0" borderId="0" xfId="0" applyNumberFormat="1" applyFont="1" applyBorder="1" applyAlignment="1">
      <alignment vertical="center"/>
    </xf>
    <xf numFmtId="0" fontId="10" fillId="0" borderId="0" xfId="0" applyFont="1" applyBorder="1" applyAlignment="1">
      <alignment vertical="center"/>
    </xf>
    <xf numFmtId="0" fontId="10" fillId="0" borderId="0" xfId="0" applyFont="1" applyAlignment="1">
      <alignment horizontal="right" vertical="center"/>
    </xf>
    <xf numFmtId="167" fontId="9" fillId="0" borderId="0" xfId="0" applyNumberFormat="1" applyFont="1" applyAlignment="1">
      <alignment vertical="center"/>
    </xf>
    <xf numFmtId="0" fontId="0" fillId="0" borderId="0" xfId="0" applyAlignment="1">
      <alignment vertical="center"/>
    </xf>
    <xf numFmtId="0" fontId="10" fillId="0" borderId="0" xfId="0" applyFont="1" applyBorder="1" applyAlignment="1">
      <alignment horizontal="center" vertical="center"/>
    </xf>
    <xf numFmtId="0" fontId="27" fillId="0" borderId="0" xfId="0" applyFont="1" applyBorder="1" applyAlignment="1">
      <alignment horizontal="center" vertical="center" wrapText="1"/>
    </xf>
    <xf numFmtId="0" fontId="27" fillId="0" borderId="0" xfId="0" applyFont="1" applyBorder="1" applyAlignment="1">
      <alignment horizontal="center" vertical="center"/>
    </xf>
    <xf numFmtId="0" fontId="10" fillId="0" borderId="0" xfId="0" applyFont="1" applyBorder="1" applyAlignment="1">
      <alignment horizontal="center" vertical="center" wrapText="1"/>
    </xf>
    <xf numFmtId="0" fontId="11" fillId="0" borderId="0" xfId="0" applyFont="1" applyBorder="1" applyAlignment="1">
      <alignment vertical="center"/>
    </xf>
    <xf numFmtId="0" fontId="27" fillId="3" borderId="6" xfId="0" applyFont="1" applyFill="1" applyBorder="1" applyAlignment="1" applyProtection="1">
      <alignment vertical="center"/>
      <protection locked="0"/>
    </xf>
    <xf numFmtId="44" fontId="11" fillId="3" borderId="6" xfId="0" applyNumberFormat="1" applyFont="1" applyFill="1" applyBorder="1" applyAlignment="1" applyProtection="1">
      <alignment vertical="center"/>
      <protection locked="0"/>
    </xf>
    <xf numFmtId="167" fontId="18" fillId="0" borderId="6" xfId="0" applyNumberFormat="1" applyFont="1" applyFill="1" applyBorder="1" applyAlignment="1" applyProtection="1">
      <alignment vertical="center"/>
    </xf>
    <xf numFmtId="0" fontId="29" fillId="0" borderId="0" xfId="0" applyFont="1"/>
    <xf numFmtId="44" fontId="29" fillId="0" borderId="0" xfId="0" applyNumberFormat="1" applyFont="1"/>
    <xf numFmtId="165" fontId="10" fillId="0" borderId="0" xfId="0" applyNumberFormat="1" applyFont="1" applyBorder="1"/>
    <xf numFmtId="44" fontId="10" fillId="0" borderId="0" xfId="0" applyNumberFormat="1" applyFont="1"/>
    <xf numFmtId="0" fontId="5" fillId="2" borderId="0" xfId="0" applyFont="1" applyFill="1" applyAlignment="1"/>
    <xf numFmtId="167" fontId="10" fillId="0" borderId="0" xfId="0" applyNumberFormat="1" applyFont="1" applyBorder="1" applyAlignment="1">
      <alignment vertical="center"/>
    </xf>
    <xf numFmtId="167" fontId="10" fillId="0" borderId="0" xfId="0" applyNumberFormat="1" applyFont="1" applyAlignment="1">
      <alignment vertical="center"/>
    </xf>
    <xf numFmtId="44" fontId="10" fillId="0" borderId="0" xfId="0" applyNumberFormat="1" applyFont="1" applyAlignment="1">
      <alignment vertical="center"/>
    </xf>
    <xf numFmtId="0" fontId="9" fillId="3" borderId="0" xfId="0" applyFont="1" applyFill="1" applyProtection="1">
      <protection locked="0"/>
    </xf>
    <xf numFmtId="0" fontId="4" fillId="0" borderId="0" xfId="0" applyFont="1" applyAlignment="1">
      <alignment horizontal="left" vertical="center" wrapText="1" readingOrder="1"/>
    </xf>
    <xf numFmtId="0" fontId="8" fillId="2" borderId="0" xfId="0" applyFont="1" applyFill="1" applyAlignment="1">
      <alignment horizontal="left" vertical="center"/>
    </xf>
    <xf numFmtId="166" fontId="9" fillId="0" borderId="0" xfId="0" applyNumberFormat="1" applyFont="1" applyAlignment="1">
      <alignment horizontal="center"/>
    </xf>
    <xf numFmtId="166" fontId="9" fillId="0" borderId="0" xfId="0" applyNumberFormat="1" applyFont="1" applyAlignment="1"/>
    <xf numFmtId="0" fontId="21" fillId="2" borderId="0" xfId="0" applyFont="1" applyFill="1" applyAlignment="1" applyProtection="1">
      <alignment horizontal="center" vertical="center"/>
      <protection locked="0"/>
    </xf>
    <xf numFmtId="0" fontId="25" fillId="2" borderId="0" xfId="0" applyFont="1" applyFill="1" applyAlignment="1">
      <alignment horizontal="center"/>
    </xf>
    <xf numFmtId="166" fontId="16" fillId="0" borderId="0" xfId="0" applyNumberFormat="1" applyFont="1" applyAlignment="1">
      <alignment horizontal="center"/>
    </xf>
    <xf numFmtId="0" fontId="7" fillId="2" borderId="0" xfId="0" applyFont="1" applyFill="1" applyAlignment="1">
      <alignment horizontal="center" vertical="center"/>
    </xf>
    <xf numFmtId="0" fontId="24" fillId="2" borderId="0" xfId="0" applyFont="1" applyFill="1" applyAlignment="1">
      <alignment horizontal="center"/>
    </xf>
    <xf numFmtId="165" fontId="23" fillId="2" borderId="0" xfId="0" applyNumberFormat="1" applyFont="1" applyFill="1" applyAlignment="1">
      <alignment horizontal="left" vertical="center"/>
    </xf>
    <xf numFmtId="0" fontId="22" fillId="2" borderId="0" xfId="0" applyFont="1" applyFill="1" applyAlignment="1">
      <alignment horizontal="center" vertical="center"/>
    </xf>
    <xf numFmtId="0" fontId="7" fillId="2" borderId="0" xfId="0" applyFont="1" applyFill="1" applyAlignment="1">
      <alignment horizontal="center"/>
    </xf>
    <xf numFmtId="0" fontId="22" fillId="2" borderId="0" xfId="0" applyFont="1" applyFill="1" applyAlignment="1">
      <alignment horizontal="right" vertical="center"/>
    </xf>
    <xf numFmtId="165" fontId="23" fillId="2" borderId="0" xfId="0" applyNumberFormat="1" applyFont="1" applyFill="1" applyAlignment="1">
      <alignment horizontal="center" vertical="center"/>
    </xf>
    <xf numFmtId="0" fontId="30" fillId="0" borderId="0" xfId="0" applyFont="1" applyAlignment="1">
      <alignment horizontal="center" vertical="center"/>
    </xf>
    <xf numFmtId="166" fontId="9" fillId="0" borderId="0" xfId="0" applyNumberFormat="1" applyFont="1" applyAlignment="1">
      <alignment horizontal="center" vertical="center"/>
    </xf>
  </cellXfs>
  <cellStyles count="3">
    <cellStyle name="Comma" xfId="1" builtinId="3"/>
    <cellStyle name="Normal" xfId="0" builtinId="0"/>
    <cellStyle name="Percent" xfId="2" builtinId="5"/>
  </cellStyles>
  <dxfs count="0"/>
  <tableStyles count="0" defaultTableStyle="TableStyleMedium9" defaultPivotStyle="PivotStyleLight16"/>
  <colors>
    <mruColors>
      <color rgb="FFFFF7D1"/>
      <color rgb="FFFFD700"/>
      <color rgb="FF1616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561975</xdr:colOff>
      <xdr:row>0</xdr:row>
      <xdr:rowOff>95250</xdr:rowOff>
    </xdr:from>
    <xdr:to>
      <xdr:col>3</xdr:col>
      <xdr:colOff>333375</xdr:colOff>
      <xdr:row>3</xdr:row>
      <xdr:rowOff>146495</xdr:rowOff>
    </xdr:to>
    <xdr:pic>
      <xdr:nvPicPr>
        <xdr:cNvPr id="3" name="Picture 2">
          <a:extLst>
            <a:ext uri="{FF2B5EF4-FFF2-40B4-BE49-F238E27FC236}">
              <a16:creationId xmlns:a16="http://schemas.microsoft.com/office/drawing/2014/main" id="{4C714208-41FE-405B-9DE0-DE03440FC2D2}"/>
            </a:ext>
          </a:extLst>
        </xdr:cNvPr>
        <xdr:cNvPicPr>
          <a:picLocks noChangeAspect="1"/>
        </xdr:cNvPicPr>
      </xdr:nvPicPr>
      <xdr:blipFill>
        <a:blip xmlns:r="http://schemas.openxmlformats.org/officeDocument/2006/relationships" r:embed="rId1"/>
        <a:stretch>
          <a:fillRect/>
        </a:stretch>
      </xdr:blipFill>
      <xdr:spPr>
        <a:xfrm>
          <a:off x="561975" y="95250"/>
          <a:ext cx="1514475" cy="7656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60960</xdr:rowOff>
    </xdr:from>
    <xdr:to>
      <xdr:col>0</xdr:col>
      <xdr:colOff>1173480</xdr:colOff>
      <xdr:row>0</xdr:row>
      <xdr:rowOff>654195</xdr:rowOff>
    </xdr:to>
    <xdr:pic>
      <xdr:nvPicPr>
        <xdr:cNvPr id="5" name="Picture 4">
          <a:extLst>
            <a:ext uri="{FF2B5EF4-FFF2-40B4-BE49-F238E27FC236}">
              <a16:creationId xmlns:a16="http://schemas.microsoft.com/office/drawing/2014/main" id="{C1A945C4-4770-484A-ABDA-154F598E9E0F}"/>
            </a:ext>
          </a:extLst>
        </xdr:cNvPr>
        <xdr:cNvPicPr>
          <a:picLocks noChangeAspect="1"/>
        </xdr:cNvPicPr>
      </xdr:nvPicPr>
      <xdr:blipFill>
        <a:blip xmlns:r="http://schemas.openxmlformats.org/officeDocument/2006/relationships" r:embed="rId1"/>
        <a:stretch>
          <a:fillRect/>
        </a:stretch>
      </xdr:blipFill>
      <xdr:spPr>
        <a:xfrm>
          <a:off x="0" y="60960"/>
          <a:ext cx="1173480" cy="5932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1173480</xdr:colOff>
      <xdr:row>0</xdr:row>
      <xdr:rowOff>593235</xdr:rowOff>
    </xdr:to>
    <xdr:pic>
      <xdr:nvPicPr>
        <xdr:cNvPr id="4" name="Picture 3">
          <a:extLst>
            <a:ext uri="{FF2B5EF4-FFF2-40B4-BE49-F238E27FC236}">
              <a16:creationId xmlns:a16="http://schemas.microsoft.com/office/drawing/2014/main" id="{76A2C116-6232-46F2-958C-054B0911CB69}"/>
            </a:ext>
          </a:extLst>
        </xdr:cNvPr>
        <xdr:cNvPicPr>
          <a:picLocks noChangeAspect="1"/>
        </xdr:cNvPicPr>
      </xdr:nvPicPr>
      <xdr:blipFill>
        <a:blip xmlns:r="http://schemas.openxmlformats.org/officeDocument/2006/relationships" r:embed="rId1"/>
        <a:stretch>
          <a:fillRect/>
        </a:stretch>
      </xdr:blipFill>
      <xdr:spPr>
        <a:xfrm>
          <a:off x="0" y="0"/>
          <a:ext cx="1173480" cy="59323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1424940</xdr:colOff>
      <xdr:row>0</xdr:row>
      <xdr:rowOff>779925</xdr:rowOff>
    </xdr:to>
    <xdr:pic>
      <xdr:nvPicPr>
        <xdr:cNvPr id="3" name="Picture 2">
          <a:extLst>
            <a:ext uri="{FF2B5EF4-FFF2-40B4-BE49-F238E27FC236}">
              <a16:creationId xmlns:a16="http://schemas.microsoft.com/office/drawing/2014/main" id="{D91BEF43-893F-4BD5-9E51-97CADB6064D4}"/>
            </a:ext>
          </a:extLst>
        </xdr:cNvPr>
        <xdr:cNvPicPr>
          <a:picLocks noChangeAspect="1"/>
        </xdr:cNvPicPr>
      </xdr:nvPicPr>
      <xdr:blipFill>
        <a:blip xmlns:r="http://schemas.openxmlformats.org/officeDocument/2006/relationships" r:embed="rId1"/>
        <a:stretch>
          <a:fillRect/>
        </a:stretch>
      </xdr:blipFill>
      <xdr:spPr>
        <a:xfrm>
          <a:off x="0" y="0"/>
          <a:ext cx="1424940" cy="7799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1215390</xdr:colOff>
      <xdr:row>1</xdr:row>
      <xdr:rowOff>1</xdr:rowOff>
    </xdr:to>
    <xdr:pic>
      <xdr:nvPicPr>
        <xdr:cNvPr id="2" name="Picture 1">
          <a:extLst>
            <a:ext uri="{FF2B5EF4-FFF2-40B4-BE49-F238E27FC236}">
              <a16:creationId xmlns:a16="http://schemas.microsoft.com/office/drawing/2014/main" id="{5F7EBEF8-ECAC-47DB-B2AC-27C439C6F141}"/>
            </a:ext>
          </a:extLst>
        </xdr:cNvPr>
        <xdr:cNvPicPr>
          <a:picLocks noChangeAspect="1"/>
        </xdr:cNvPicPr>
      </xdr:nvPicPr>
      <xdr:blipFill>
        <a:blip xmlns:r="http://schemas.openxmlformats.org/officeDocument/2006/relationships" r:embed="rId1"/>
        <a:stretch>
          <a:fillRect/>
        </a:stretch>
      </xdr:blipFill>
      <xdr:spPr>
        <a:xfrm>
          <a:off x="0" y="1"/>
          <a:ext cx="1428750" cy="8305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85726</xdr:rowOff>
    </xdr:from>
    <xdr:to>
      <xdr:col>1</xdr:col>
      <xdr:colOff>1339215</xdr:colOff>
      <xdr:row>1</xdr:row>
      <xdr:rowOff>200025</xdr:rowOff>
    </xdr:to>
    <xdr:pic>
      <xdr:nvPicPr>
        <xdr:cNvPr id="2" name="Picture 1">
          <a:extLst>
            <a:ext uri="{FF2B5EF4-FFF2-40B4-BE49-F238E27FC236}">
              <a16:creationId xmlns:a16="http://schemas.microsoft.com/office/drawing/2014/main" id="{9BE4DF6C-D938-498E-AFC1-D41D53539910}"/>
            </a:ext>
          </a:extLst>
        </xdr:cNvPr>
        <xdr:cNvPicPr>
          <a:picLocks noChangeAspect="1"/>
        </xdr:cNvPicPr>
      </xdr:nvPicPr>
      <xdr:blipFill>
        <a:blip xmlns:r="http://schemas.openxmlformats.org/officeDocument/2006/relationships" r:embed="rId1"/>
        <a:stretch>
          <a:fillRect/>
        </a:stretch>
      </xdr:blipFill>
      <xdr:spPr>
        <a:xfrm>
          <a:off x="95250" y="85726"/>
          <a:ext cx="1424940" cy="9429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showRowColHeaders="0" workbookViewId="0">
      <selection activeCell="B6" sqref="B6:L6"/>
    </sheetView>
  </sheetViews>
  <sheetFormatPr defaultColWidth="8.6640625" defaultRowHeight="13.2" x14ac:dyDescent="0.25"/>
  <sheetData>
    <row r="1" spans="1:12" x14ac:dyDescent="0.25">
      <c r="A1" s="4"/>
      <c r="B1" s="4"/>
      <c r="C1" s="4"/>
      <c r="D1" s="4"/>
      <c r="E1" s="4"/>
      <c r="F1" s="4"/>
      <c r="G1" s="4"/>
      <c r="H1" s="4"/>
      <c r="I1" s="4"/>
      <c r="J1" s="4"/>
      <c r="K1" s="4"/>
      <c r="L1" s="4"/>
    </row>
    <row r="2" spans="1:12" x14ac:dyDescent="0.25">
      <c r="A2" s="4"/>
      <c r="B2" s="4"/>
      <c r="C2" s="4"/>
      <c r="D2" s="4"/>
      <c r="E2" s="4"/>
      <c r="F2" s="4"/>
      <c r="G2" s="4"/>
      <c r="H2" s="4"/>
      <c r="I2" s="4"/>
      <c r="J2" s="4"/>
      <c r="K2" s="4"/>
      <c r="L2" s="4"/>
    </row>
    <row r="3" spans="1:12" ht="30.6" x14ac:dyDescent="0.25">
      <c r="A3" s="4"/>
      <c r="B3" s="4"/>
      <c r="C3" s="4"/>
      <c r="D3" s="4"/>
      <c r="E3" s="136" t="s">
        <v>112</v>
      </c>
      <c r="F3" s="136"/>
      <c r="G3" s="136"/>
      <c r="H3" s="136"/>
      <c r="I3" s="136"/>
      <c r="J3" s="136"/>
      <c r="K3" s="136"/>
      <c r="L3" s="136"/>
    </row>
    <row r="4" spans="1:12" x14ac:dyDescent="0.25">
      <c r="A4" s="4"/>
      <c r="B4" s="4"/>
      <c r="C4" s="4"/>
      <c r="D4" s="4"/>
      <c r="E4" s="4"/>
      <c r="F4" s="4"/>
      <c r="G4" s="4"/>
      <c r="H4" s="4"/>
      <c r="I4" s="4"/>
      <c r="J4" s="4"/>
      <c r="K4" s="4"/>
      <c r="L4" s="4"/>
    </row>
    <row r="5" spans="1:12" ht="24.75" customHeight="1" x14ac:dyDescent="0.25">
      <c r="A5" s="4"/>
      <c r="B5" s="4"/>
      <c r="C5" s="4"/>
      <c r="D5" s="4"/>
      <c r="E5" s="4"/>
      <c r="F5" s="4"/>
      <c r="G5" s="4"/>
      <c r="H5" s="4"/>
      <c r="I5" s="4"/>
      <c r="J5" s="4"/>
      <c r="K5" s="4"/>
      <c r="L5" s="4"/>
    </row>
    <row r="6" spans="1:12" ht="325.5" customHeight="1" x14ac:dyDescent="0.25">
      <c r="B6" s="135" t="s">
        <v>111</v>
      </c>
      <c r="C6" s="135"/>
      <c r="D6" s="135"/>
      <c r="E6" s="135"/>
      <c r="F6" s="135"/>
      <c r="G6" s="135"/>
      <c r="H6" s="135"/>
      <c r="I6" s="135"/>
      <c r="J6" s="135"/>
      <c r="K6" s="135"/>
      <c r="L6" s="135"/>
    </row>
    <row r="7" spans="1:12" ht="17.399999999999999" x14ac:dyDescent="0.25">
      <c r="B7" s="3"/>
    </row>
  </sheetData>
  <sheetProtection algorithmName="SHA-512" hashValue="P8fP9bcCfV8zDit2+9SRVIMSZjDLBnAEAOvgbWzETzV91/U+tYaFmeKsBYBXsnyGff4uneGe9Kwo/oM2EFqLFw==" saltValue="M51xCTE2FKTCA0ZmqSLVDA==" spinCount="100000" sheet="1" objects="1" scenarios="1" selectLockedCells="1"/>
  <mergeCells count="2">
    <mergeCell ref="B6:L6"/>
    <mergeCell ref="E3:L3"/>
  </mergeCells>
  <phoneticPr fontId="2" type="noConversion"/>
  <pageMargins left="0.75" right="0.75" top="1" bottom="1" header="0.5" footer="0.5"/>
  <pageSetup orientation="portrait"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41"/>
  <sheetViews>
    <sheetView showGridLines="0" showRowColHeaders="0" zoomScale="125" zoomScaleNormal="125" zoomScalePageLayoutView="125" workbookViewId="0">
      <selection activeCell="B7" sqref="B7"/>
    </sheetView>
  </sheetViews>
  <sheetFormatPr defaultColWidth="78.109375" defaultRowHeight="16.2" x14ac:dyDescent="0.4"/>
  <cols>
    <col min="1" max="1" width="78.33203125" style="5" bestFit="1" customWidth="1"/>
    <col min="2" max="2" width="14.109375" style="6" bestFit="1" customWidth="1"/>
    <col min="3" max="3" width="13.44140625" style="6" bestFit="1" customWidth="1"/>
    <col min="4" max="16384" width="78.109375" style="5"/>
  </cols>
  <sheetData>
    <row r="1" spans="1:3" ht="54" customHeight="1" x14ac:dyDescent="0.4">
      <c r="A1" s="68" t="s">
        <v>115</v>
      </c>
      <c r="B1" s="139" t="s">
        <v>116</v>
      </c>
      <c r="C1" s="139"/>
    </row>
    <row r="2" spans="1:3" x14ac:dyDescent="0.4">
      <c r="A2" s="137">
        <f ca="1">TODAY()</f>
        <v>44602</v>
      </c>
      <c r="B2" s="138">
        <f ca="1">TODAY()</f>
        <v>44602</v>
      </c>
      <c r="C2" s="138">
        <f ca="1">TODAY()</f>
        <v>44602</v>
      </c>
    </row>
    <row r="4" spans="1:3" ht="19.8" x14ac:dyDescent="0.45">
      <c r="A4" s="140" t="s">
        <v>118</v>
      </c>
      <c r="B4" s="140"/>
      <c r="C4" s="140"/>
    </row>
    <row r="5" spans="1:3" ht="16.8" thickBot="1" x14ac:dyDescent="0.45">
      <c r="A5" s="7" t="s">
        <v>0</v>
      </c>
      <c r="B5" s="8" t="s">
        <v>1</v>
      </c>
      <c r="C5" s="8" t="s">
        <v>2</v>
      </c>
    </row>
    <row r="6" spans="1:3" x14ac:dyDescent="0.4">
      <c r="A6" s="9" t="s">
        <v>58</v>
      </c>
      <c r="B6" s="24">
        <f>'Real Estate Balance Sheet'!E25</f>
        <v>0</v>
      </c>
      <c r="C6" s="10"/>
    </row>
    <row r="7" spans="1:3" x14ac:dyDescent="0.4">
      <c r="A7" s="9" t="s">
        <v>106</v>
      </c>
      <c r="B7" s="28">
        <v>0</v>
      </c>
      <c r="C7" s="10"/>
    </row>
    <row r="8" spans="1:3" x14ac:dyDescent="0.4">
      <c r="A8" s="9" t="s">
        <v>105</v>
      </c>
      <c r="B8" s="27">
        <v>0</v>
      </c>
      <c r="C8" s="10"/>
    </row>
    <row r="9" spans="1:3" x14ac:dyDescent="0.4">
      <c r="A9" s="9" t="s">
        <v>105</v>
      </c>
      <c r="B9" s="27">
        <v>0</v>
      </c>
      <c r="C9" s="30"/>
    </row>
    <row r="10" spans="1:3" ht="17.399999999999999" thickBot="1" x14ac:dyDescent="0.45">
      <c r="A10" s="11" t="s">
        <v>3</v>
      </c>
      <c r="B10" s="12"/>
      <c r="C10" s="22">
        <f>SUM(B6:B9)</f>
        <v>0</v>
      </c>
    </row>
    <row r="11" spans="1:3" ht="16.8" thickTop="1" x14ac:dyDescent="0.4"/>
    <row r="12" spans="1:3" ht="19.8" x14ac:dyDescent="0.45">
      <c r="A12" s="140" t="s">
        <v>4</v>
      </c>
      <c r="B12" s="140"/>
      <c r="C12" s="140"/>
    </row>
    <row r="13" spans="1:3" ht="16.8" thickBot="1" x14ac:dyDescent="0.45">
      <c r="A13" s="7" t="s">
        <v>5</v>
      </c>
      <c r="B13" s="8" t="s">
        <v>1</v>
      </c>
      <c r="C13" s="8" t="s">
        <v>2</v>
      </c>
    </row>
    <row r="14" spans="1:3" ht="32.4" x14ac:dyDescent="0.4">
      <c r="A14" s="9" t="s">
        <v>119</v>
      </c>
      <c r="B14" s="24">
        <f>'Overview Rentals'!F16+'Overview Rentals'!G16</f>
        <v>0</v>
      </c>
      <c r="C14" s="10"/>
    </row>
    <row r="15" spans="1:3" ht="32.4" x14ac:dyDescent="0.4">
      <c r="A15" s="9" t="s">
        <v>120</v>
      </c>
      <c r="B15" s="24">
        <f>'Real Estate Balance Sheet'!G8</f>
        <v>0</v>
      </c>
      <c r="C15" s="10"/>
    </row>
    <row r="16" spans="1:3" x14ac:dyDescent="0.4">
      <c r="A16" s="9" t="s">
        <v>99</v>
      </c>
      <c r="B16" s="28">
        <v>0</v>
      </c>
      <c r="C16" s="10"/>
    </row>
    <row r="17" spans="1:3" x14ac:dyDescent="0.4">
      <c r="A17" s="9" t="s">
        <v>102</v>
      </c>
      <c r="B17" s="27">
        <v>0</v>
      </c>
      <c r="C17" s="10"/>
    </row>
    <row r="18" spans="1:3" x14ac:dyDescent="0.4">
      <c r="A18" s="9" t="s">
        <v>6</v>
      </c>
      <c r="B18" s="27">
        <v>0</v>
      </c>
      <c r="C18" s="10"/>
    </row>
    <row r="19" spans="1:3" x14ac:dyDescent="0.4">
      <c r="A19" s="9" t="s">
        <v>7</v>
      </c>
      <c r="B19" s="27">
        <v>0</v>
      </c>
      <c r="C19" s="10"/>
    </row>
    <row r="20" spans="1:3" x14ac:dyDescent="0.4">
      <c r="A20" s="9" t="s">
        <v>100</v>
      </c>
      <c r="B20" s="27">
        <v>0</v>
      </c>
      <c r="C20" s="10"/>
    </row>
    <row r="21" spans="1:3" x14ac:dyDescent="0.4">
      <c r="A21" s="9" t="s">
        <v>8</v>
      </c>
      <c r="B21" s="27">
        <v>0</v>
      </c>
      <c r="C21" s="10"/>
    </row>
    <row r="22" spans="1:3" x14ac:dyDescent="0.4">
      <c r="A22" s="9" t="s">
        <v>9</v>
      </c>
      <c r="B22" s="27">
        <v>0</v>
      </c>
      <c r="C22" s="10"/>
    </row>
    <row r="23" spans="1:3" x14ac:dyDescent="0.4">
      <c r="A23" s="9" t="s">
        <v>10</v>
      </c>
      <c r="B23" s="28">
        <v>0</v>
      </c>
      <c r="C23" s="31">
        <f>SUM(B14:B23)</f>
        <v>0</v>
      </c>
    </row>
    <row r="24" spans="1:3" ht="16.8" thickBot="1" x14ac:dyDescent="0.45">
      <c r="A24" s="7" t="s">
        <v>11</v>
      </c>
      <c r="B24" s="8" t="s">
        <v>1</v>
      </c>
      <c r="C24" s="8" t="s">
        <v>2</v>
      </c>
    </row>
    <row r="25" spans="1:3" x14ac:dyDescent="0.4">
      <c r="A25" s="9" t="s">
        <v>12</v>
      </c>
      <c r="B25" s="29">
        <v>0</v>
      </c>
      <c r="C25" s="10"/>
    </row>
    <row r="26" spans="1:3" x14ac:dyDescent="0.4">
      <c r="A26" s="9" t="s">
        <v>13</v>
      </c>
      <c r="B26" s="27">
        <v>0</v>
      </c>
      <c r="C26" s="10"/>
    </row>
    <row r="27" spans="1:3" x14ac:dyDescent="0.4">
      <c r="A27" s="9" t="s">
        <v>14</v>
      </c>
      <c r="B27" s="27">
        <v>0</v>
      </c>
      <c r="C27" s="10"/>
    </row>
    <row r="28" spans="1:3" x14ac:dyDescent="0.4">
      <c r="A28" s="9" t="s">
        <v>15</v>
      </c>
      <c r="B28" s="27">
        <v>0</v>
      </c>
      <c r="C28" s="10"/>
    </row>
    <row r="29" spans="1:3" x14ac:dyDescent="0.4">
      <c r="A29" s="9" t="s">
        <v>16</v>
      </c>
      <c r="B29" s="27">
        <v>0</v>
      </c>
      <c r="C29" s="31">
        <f>SUM(B25:B29)</f>
        <v>0</v>
      </c>
    </row>
    <row r="30" spans="1:3" ht="16.8" thickBot="1" x14ac:dyDescent="0.45">
      <c r="A30" s="13" t="s">
        <v>113</v>
      </c>
      <c r="B30" s="14" t="s">
        <v>17</v>
      </c>
      <c r="C30" s="15" t="s">
        <v>1</v>
      </c>
    </row>
    <row r="31" spans="1:3" x14ac:dyDescent="0.4">
      <c r="A31" s="16" t="s">
        <v>97</v>
      </c>
      <c r="B31" s="29">
        <v>0</v>
      </c>
      <c r="C31" s="23">
        <f>B31/12</f>
        <v>0</v>
      </c>
    </row>
    <row r="32" spans="1:3" x14ac:dyDescent="0.4">
      <c r="A32" s="17" t="s">
        <v>98</v>
      </c>
      <c r="B32" s="27">
        <v>0</v>
      </c>
      <c r="C32" s="23">
        <f>B32/12</f>
        <v>0</v>
      </c>
    </row>
    <row r="33" spans="1:3" x14ac:dyDescent="0.4">
      <c r="A33" s="9" t="s">
        <v>18</v>
      </c>
      <c r="B33" s="27">
        <v>0</v>
      </c>
      <c r="C33" s="23">
        <f>(B33*4)/12</f>
        <v>0</v>
      </c>
    </row>
    <row r="34" spans="1:3" x14ac:dyDescent="0.4">
      <c r="A34" s="9" t="s">
        <v>19</v>
      </c>
      <c r="B34" s="27">
        <v>0</v>
      </c>
      <c r="C34" s="23">
        <f>B34/12</f>
        <v>0</v>
      </c>
    </row>
    <row r="35" spans="1:3" x14ac:dyDescent="0.4">
      <c r="A35" s="25" t="s">
        <v>117</v>
      </c>
      <c r="B35" s="28">
        <v>0</v>
      </c>
      <c r="C35" s="23">
        <f t="shared" ref="C35:C37" si="0">B35/12</f>
        <v>0</v>
      </c>
    </row>
    <row r="36" spans="1:3" x14ac:dyDescent="0.4">
      <c r="A36" s="26" t="s">
        <v>117</v>
      </c>
      <c r="B36" s="27">
        <v>0</v>
      </c>
      <c r="C36" s="23">
        <f t="shared" si="0"/>
        <v>0</v>
      </c>
    </row>
    <row r="37" spans="1:3" x14ac:dyDescent="0.4">
      <c r="A37" s="26" t="s">
        <v>117</v>
      </c>
      <c r="B37" s="27">
        <v>0</v>
      </c>
      <c r="C37" s="32">
        <f t="shared" si="0"/>
        <v>0</v>
      </c>
    </row>
    <row r="38" spans="1:3" ht="17.399999999999999" thickBot="1" x14ac:dyDescent="0.45">
      <c r="A38" s="11" t="s">
        <v>20</v>
      </c>
      <c r="B38" s="18"/>
      <c r="C38" s="33">
        <f>SUM(C29,C23,C31:C37)</f>
        <v>0</v>
      </c>
    </row>
    <row r="39" spans="1:3" ht="16.8" thickTop="1" x14ac:dyDescent="0.4"/>
    <row r="40" spans="1:3" ht="17.399999999999999" thickBot="1" x14ac:dyDescent="0.45">
      <c r="A40" s="19" t="s">
        <v>114</v>
      </c>
      <c r="B40" s="21">
        <f>C10-C38</f>
        <v>0</v>
      </c>
      <c r="C40" s="20"/>
    </row>
    <row r="41" spans="1:3" ht="16.8" thickTop="1" x14ac:dyDescent="0.4"/>
  </sheetData>
  <sheetProtection algorithmName="SHA-512" hashValue="gkAkGErLt360C109fk8yOezGRCXr5ImHKIBS9UcSh/KyR9w6P52poXoekd3zUQSj854xbaANamJeD0k+/Zny+A==" saltValue="ZyN1pvfiHUwYsnhdWzMHvg==" spinCount="100000" sheet="1" scenarios="1" selectLockedCells="1"/>
  <mergeCells count="4">
    <mergeCell ref="A2:C2"/>
    <mergeCell ref="B1:C1"/>
    <mergeCell ref="A12:C12"/>
    <mergeCell ref="A4:C4"/>
  </mergeCells>
  <phoneticPr fontId="2" type="noConversion"/>
  <pageMargins left="0.75" right="0.75" top="1" bottom="1" header="0.5" footer="0.5"/>
  <pageSetup scale="88" orientation="portrait" horizontalDpi="300" verticalDpi="300"/>
  <headerFooter alignWithMargins="0"/>
  <cellWatches>
    <cellWatch r="A25"/>
  </cellWatches>
  <ignoredErrors>
    <ignoredError sqref="C33" formula="1"/>
  </ignoredErrors>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36"/>
  <sheetViews>
    <sheetView showGridLines="0" showRowColHeaders="0" zoomScale="125" zoomScaleNormal="125" zoomScalePageLayoutView="125" workbookViewId="0">
      <selection activeCell="G7" sqref="G7"/>
    </sheetView>
  </sheetViews>
  <sheetFormatPr defaultColWidth="8.6640625" defaultRowHeight="16.2" x14ac:dyDescent="0.4"/>
  <cols>
    <col min="1" max="1" width="50.33203125" style="5" customWidth="1"/>
    <col min="2" max="2" width="17.33203125" style="5" customWidth="1"/>
    <col min="3" max="3" width="1.44140625" style="5" customWidth="1"/>
    <col min="4" max="4" width="33" style="5" customWidth="1"/>
    <col min="5" max="5" width="21.5546875" style="5" bestFit="1" customWidth="1"/>
    <col min="6" max="6" width="8.6640625" style="5" customWidth="1"/>
    <col min="7" max="7" width="23.44140625" style="5" customWidth="1"/>
    <col min="8" max="9" width="14.6640625" style="5" customWidth="1"/>
    <col min="10" max="10" width="16.44140625" style="5" bestFit="1" customWidth="1"/>
    <col min="11" max="16384" width="8.6640625" style="5"/>
  </cols>
  <sheetData>
    <row r="1" spans="1:10" ht="50.25" customHeight="1" x14ac:dyDescent="0.4">
      <c r="A1" s="142" t="s">
        <v>121</v>
      </c>
      <c r="B1" s="142"/>
      <c r="C1" s="142"/>
      <c r="D1" s="142"/>
      <c r="E1" s="139" t="s">
        <v>116</v>
      </c>
      <c r="F1" s="139"/>
    </row>
    <row r="2" spans="1:10" x14ac:dyDescent="0.4">
      <c r="A2" s="141">
        <f ca="1">TODAY()</f>
        <v>44602</v>
      </c>
      <c r="B2" s="141"/>
      <c r="C2" s="141"/>
      <c r="D2" s="141"/>
      <c r="E2" s="141"/>
    </row>
    <row r="3" spans="1:10" x14ac:dyDescent="0.4">
      <c r="B3" s="6"/>
      <c r="E3" s="6"/>
    </row>
    <row r="4" spans="1:10" ht="19.8" x14ac:dyDescent="0.45">
      <c r="A4" s="143" t="s">
        <v>21</v>
      </c>
      <c r="B4" s="143"/>
      <c r="D4" s="143" t="s">
        <v>29</v>
      </c>
      <c r="E4" s="143"/>
      <c r="G4" s="143" t="s">
        <v>91</v>
      </c>
      <c r="H4" s="143"/>
      <c r="I4" s="143"/>
      <c r="J4" s="143"/>
    </row>
    <row r="5" spans="1:10" x14ac:dyDescent="0.4">
      <c r="B5" s="6"/>
    </row>
    <row r="6" spans="1:10" x14ac:dyDescent="0.4">
      <c r="A6" s="34" t="s">
        <v>35</v>
      </c>
      <c r="B6" s="6"/>
      <c r="D6" s="34" t="s">
        <v>73</v>
      </c>
      <c r="E6" s="6"/>
      <c r="H6" s="34" t="s">
        <v>92</v>
      </c>
      <c r="I6" s="34" t="s">
        <v>93</v>
      </c>
      <c r="J6" s="34" t="s">
        <v>101</v>
      </c>
    </row>
    <row r="7" spans="1:10" x14ac:dyDescent="0.4">
      <c r="A7" s="5" t="s">
        <v>78</v>
      </c>
      <c r="B7" s="35">
        <f>'RRSP &amp; Credit'!C61</f>
        <v>0</v>
      </c>
      <c r="C7" s="5" t="s">
        <v>33</v>
      </c>
      <c r="D7" s="5" t="s">
        <v>74</v>
      </c>
      <c r="E7" s="6">
        <f>'Real Estate Balance Sheet'!F25</f>
        <v>0</v>
      </c>
      <c r="G7" s="134" t="s">
        <v>107</v>
      </c>
      <c r="H7" s="36" t="s">
        <v>122</v>
      </c>
      <c r="I7" s="37"/>
      <c r="J7" s="38"/>
    </row>
    <row r="8" spans="1:10" x14ac:dyDescent="0.4">
      <c r="A8" s="39" t="s">
        <v>79</v>
      </c>
      <c r="B8" s="35">
        <f>'RRSP &amp; Credit'!C70</f>
        <v>0</v>
      </c>
      <c r="C8" s="5" t="s">
        <v>34</v>
      </c>
      <c r="D8" s="40" t="s">
        <v>75</v>
      </c>
      <c r="E8" s="6">
        <f>'Real Estate Balance Sheet'!F13</f>
        <v>25000</v>
      </c>
      <c r="G8" s="134" t="s">
        <v>107</v>
      </c>
      <c r="H8" s="41" t="s">
        <v>122</v>
      </c>
      <c r="I8" s="42"/>
      <c r="J8" s="43"/>
    </row>
    <row r="9" spans="1:10" x14ac:dyDescent="0.4">
      <c r="A9" s="5" t="s">
        <v>22</v>
      </c>
      <c r="B9" s="44">
        <f>SUM(B7:B8)</f>
        <v>0</v>
      </c>
      <c r="D9" s="5" t="s">
        <v>76</v>
      </c>
      <c r="E9" s="45">
        <f>SUM(E7:E8)</f>
        <v>25000</v>
      </c>
      <c r="G9" s="134" t="s">
        <v>107</v>
      </c>
      <c r="H9" s="41" t="s">
        <v>122</v>
      </c>
      <c r="I9" s="42"/>
      <c r="J9" s="43"/>
    </row>
    <row r="10" spans="1:10" x14ac:dyDescent="0.4">
      <c r="B10" s="6"/>
      <c r="E10" s="6"/>
      <c r="G10" s="134" t="s">
        <v>107</v>
      </c>
      <c r="H10" s="41" t="s">
        <v>122</v>
      </c>
      <c r="I10" s="42"/>
      <c r="J10" s="43"/>
    </row>
    <row r="11" spans="1:10" x14ac:dyDescent="0.4">
      <c r="A11" s="34" t="s">
        <v>88</v>
      </c>
      <c r="B11" s="6"/>
      <c r="E11" s="45"/>
      <c r="G11" s="134" t="s">
        <v>107</v>
      </c>
      <c r="H11" s="41" t="s">
        <v>122</v>
      </c>
      <c r="I11" s="42"/>
      <c r="J11" s="43"/>
    </row>
    <row r="12" spans="1:10" x14ac:dyDescent="0.4">
      <c r="A12" s="5" t="s">
        <v>80</v>
      </c>
      <c r="B12" s="35">
        <f>'RRSP &amp; Credit'!D23</f>
        <v>0</v>
      </c>
      <c r="D12" s="34" t="s">
        <v>85</v>
      </c>
      <c r="E12" s="6"/>
      <c r="G12" s="134" t="s">
        <v>107</v>
      </c>
      <c r="H12" s="36" t="s">
        <v>122</v>
      </c>
      <c r="I12" s="37"/>
      <c r="J12" s="38"/>
    </row>
    <row r="13" spans="1:10" ht="16.8" thickBot="1" x14ac:dyDescent="0.45">
      <c r="A13" s="5" t="s">
        <v>61</v>
      </c>
      <c r="B13" s="35">
        <f>J14</f>
        <v>0</v>
      </c>
      <c r="D13" s="5" t="s">
        <v>84</v>
      </c>
      <c r="E13" s="45">
        <f>'RRSP &amp; Credit'!C40</f>
        <v>0</v>
      </c>
      <c r="G13" s="134" t="s">
        <v>107</v>
      </c>
      <c r="H13" s="41" t="s">
        <v>122</v>
      </c>
      <c r="I13" s="42"/>
      <c r="J13" s="46"/>
    </row>
    <row r="14" spans="1:10" ht="16.8" thickTop="1" x14ac:dyDescent="0.4">
      <c r="A14" s="5" t="s">
        <v>23</v>
      </c>
      <c r="B14" s="44">
        <f>SUM(B12:B13)</f>
        <v>0</v>
      </c>
      <c r="E14" s="45"/>
      <c r="J14" s="6">
        <f>SUM(J7:J13)</f>
        <v>0</v>
      </c>
    </row>
    <row r="15" spans="1:10" x14ac:dyDescent="0.4">
      <c r="B15" s="6"/>
      <c r="E15" s="6"/>
    </row>
    <row r="16" spans="1:10" x14ac:dyDescent="0.4">
      <c r="A16" s="34" t="s">
        <v>62</v>
      </c>
      <c r="B16" s="6"/>
      <c r="D16" s="34" t="s">
        <v>86</v>
      </c>
      <c r="E16" s="34"/>
    </row>
    <row r="17" spans="1:5" x14ac:dyDescent="0.4">
      <c r="A17" s="47" t="s">
        <v>63</v>
      </c>
      <c r="B17" s="35">
        <f>'Overview Rentals'!D16</f>
        <v>0</v>
      </c>
      <c r="D17" s="5" t="s">
        <v>30</v>
      </c>
      <c r="E17" s="45">
        <f>'RRSP &amp; Credit'!C48</f>
        <v>0</v>
      </c>
    </row>
    <row r="18" spans="1:5" x14ac:dyDescent="0.4">
      <c r="A18" s="48" t="s">
        <v>72</v>
      </c>
      <c r="B18" s="35">
        <f>'Real Estate Balance Sheet'!D13</f>
        <v>750000</v>
      </c>
      <c r="E18" s="6"/>
    </row>
    <row r="19" spans="1:5" x14ac:dyDescent="0.4">
      <c r="A19" s="5" t="s">
        <v>71</v>
      </c>
      <c r="B19" s="44">
        <f>(B17+B18)</f>
        <v>750000</v>
      </c>
      <c r="E19" s="6"/>
    </row>
    <row r="20" spans="1:5" x14ac:dyDescent="0.4">
      <c r="B20" s="6"/>
    </row>
    <row r="21" spans="1:5" x14ac:dyDescent="0.4">
      <c r="A21" s="34" t="s">
        <v>24</v>
      </c>
      <c r="B21" s="6"/>
      <c r="E21" s="6"/>
    </row>
    <row r="22" spans="1:5" x14ac:dyDescent="0.4">
      <c r="A22" s="49" t="s">
        <v>25</v>
      </c>
      <c r="B22" s="50">
        <v>0</v>
      </c>
      <c r="E22" s="6"/>
    </row>
    <row r="23" spans="1:5" x14ac:dyDescent="0.4">
      <c r="A23" s="51" t="s">
        <v>81</v>
      </c>
      <c r="B23" s="52">
        <v>0</v>
      </c>
      <c r="E23" s="6"/>
    </row>
    <row r="24" spans="1:5" x14ac:dyDescent="0.4">
      <c r="A24" s="51" t="s">
        <v>109</v>
      </c>
      <c r="B24" s="52">
        <v>0</v>
      </c>
      <c r="E24" s="6"/>
    </row>
    <row r="25" spans="1:5" x14ac:dyDescent="0.4">
      <c r="A25" s="51" t="s">
        <v>108</v>
      </c>
      <c r="B25" s="52">
        <v>0</v>
      </c>
      <c r="E25" s="6"/>
    </row>
    <row r="26" spans="1:5" x14ac:dyDescent="0.4">
      <c r="A26" s="51" t="s">
        <v>26</v>
      </c>
      <c r="B26" s="52">
        <v>0</v>
      </c>
      <c r="E26" s="6"/>
    </row>
    <row r="27" spans="1:5" x14ac:dyDescent="0.4">
      <c r="A27" s="49" t="s">
        <v>27</v>
      </c>
      <c r="B27" s="50">
        <v>0</v>
      </c>
      <c r="E27" s="6"/>
    </row>
    <row r="28" spans="1:5" x14ac:dyDescent="0.4">
      <c r="A28" s="51" t="s">
        <v>94</v>
      </c>
      <c r="B28" s="52">
        <v>0</v>
      </c>
      <c r="E28" s="6"/>
    </row>
    <row r="29" spans="1:5" x14ac:dyDescent="0.4">
      <c r="A29" s="51" t="s">
        <v>117</v>
      </c>
      <c r="B29" s="52">
        <v>0</v>
      </c>
      <c r="E29" s="6"/>
    </row>
    <row r="30" spans="1:5" x14ac:dyDescent="0.4">
      <c r="A30" s="51" t="s">
        <v>117</v>
      </c>
      <c r="B30" s="52">
        <v>0</v>
      </c>
      <c r="E30" s="6"/>
    </row>
    <row r="31" spans="1:5" ht="16.8" thickBot="1" x14ac:dyDescent="0.45">
      <c r="A31" s="51" t="s">
        <v>117</v>
      </c>
      <c r="B31" s="53">
        <v>0</v>
      </c>
      <c r="E31" s="6"/>
    </row>
    <row r="32" spans="1:5" ht="16.8" thickTop="1" x14ac:dyDescent="0.4">
      <c r="A32" s="5" t="s">
        <v>28</v>
      </c>
      <c r="B32" s="45">
        <f>SUM(B22:B31)</f>
        <v>0</v>
      </c>
      <c r="E32" s="6"/>
    </row>
    <row r="33" spans="1:5" x14ac:dyDescent="0.4">
      <c r="B33" s="6"/>
      <c r="E33" s="6"/>
    </row>
    <row r="34" spans="1:5" ht="18" x14ac:dyDescent="0.4">
      <c r="A34" s="66" t="s">
        <v>31</v>
      </c>
      <c r="B34" s="67">
        <f>B9+B14+B32+B19</f>
        <v>750000</v>
      </c>
      <c r="C34" s="54"/>
      <c r="D34" s="66" t="s">
        <v>32</v>
      </c>
      <c r="E34" s="67">
        <f>E17+E13+E9</f>
        <v>25000</v>
      </c>
    </row>
    <row r="35" spans="1:5" x14ac:dyDescent="0.4">
      <c r="A35" s="54"/>
      <c r="B35" s="55"/>
      <c r="C35" s="54"/>
      <c r="D35" s="54"/>
      <c r="E35" s="55"/>
    </row>
    <row r="36" spans="1:5" ht="18" x14ac:dyDescent="0.4">
      <c r="A36" s="66" t="s">
        <v>87</v>
      </c>
      <c r="B36" s="67">
        <f>B34-E34</f>
        <v>725000</v>
      </c>
      <c r="C36" s="54"/>
      <c r="D36" s="54"/>
      <c r="E36" s="55"/>
    </row>
  </sheetData>
  <sheetProtection algorithmName="SHA-512" hashValue="lrA30nNEos7fqWZ3+RfeCLUDCLkrzNLnlavepFJj5+WN+8/lkfLFdGh9RHhvJRIXCD12TifySFcbNjiY2Da9kg==" saltValue="ytCuZC4JPXEwFNys2A1ckw==" spinCount="100000" sheet="1" objects="1" scenarios="1" selectLockedCells="1"/>
  <mergeCells count="6">
    <mergeCell ref="E1:F1"/>
    <mergeCell ref="A2:E2"/>
    <mergeCell ref="A1:D1"/>
    <mergeCell ref="G4:J4"/>
    <mergeCell ref="D4:E4"/>
    <mergeCell ref="A4:B4"/>
  </mergeCells>
  <phoneticPr fontId="2" type="noConversion"/>
  <pageMargins left="0.75" right="0.75" top="1" bottom="1" header="0.5" footer="0.5"/>
  <pageSetup scale="97" orientation="landscape" horizontalDpi="300" verticalDpi="300"/>
  <headerFooter alignWithMargins="0"/>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7"/>
  <sheetViews>
    <sheetView showGridLines="0" showRowColHeaders="0" topLeftCell="A19" zoomScale="125" zoomScaleNormal="125" zoomScalePageLayoutView="125" workbookViewId="0">
      <selection activeCell="G32" sqref="G32"/>
    </sheetView>
  </sheetViews>
  <sheetFormatPr defaultColWidth="8.6640625" defaultRowHeight="16.2" x14ac:dyDescent="0.4"/>
  <cols>
    <col min="1" max="1" width="41.33203125" style="5" customWidth="1"/>
    <col min="2" max="2" width="16.44140625" style="5" customWidth="1"/>
    <col min="3" max="3" width="17.44140625" style="5" customWidth="1"/>
    <col min="4" max="4" width="27.109375" style="5" customWidth="1"/>
    <col min="5" max="5" width="3.6640625" style="5" customWidth="1"/>
    <col min="6" max="6" width="13" style="5" customWidth="1"/>
    <col min="7" max="7" width="12.6640625" style="5" customWidth="1"/>
    <col min="8" max="16384" width="8.6640625" style="5"/>
  </cols>
  <sheetData>
    <row r="1" spans="1:7" ht="65.25" customHeight="1" x14ac:dyDescent="0.4">
      <c r="A1" s="145" t="s">
        <v>36</v>
      </c>
      <c r="B1" s="145"/>
      <c r="C1" s="145"/>
      <c r="D1" s="145"/>
      <c r="E1" s="145"/>
      <c r="F1" s="145"/>
      <c r="G1" s="145"/>
    </row>
    <row r="2" spans="1:7" ht="27" x14ac:dyDescent="0.4">
      <c r="A2" s="147" t="s">
        <v>123</v>
      </c>
      <c r="B2" s="147"/>
      <c r="C2" s="147"/>
      <c r="D2" s="147"/>
      <c r="E2" s="144" t="s">
        <v>116</v>
      </c>
      <c r="F2" s="144"/>
      <c r="G2" s="144"/>
    </row>
    <row r="3" spans="1:7" x14ac:dyDescent="0.4">
      <c r="A3" s="137">
        <f ca="1">TODAY()</f>
        <v>44602</v>
      </c>
      <c r="B3" s="137"/>
      <c r="C3" s="137"/>
      <c r="D3" s="137"/>
      <c r="E3" s="137"/>
      <c r="F3" s="137"/>
      <c r="G3" s="137"/>
    </row>
    <row r="4" spans="1:7" x14ac:dyDescent="0.4">
      <c r="B4" s="56"/>
    </row>
    <row r="5" spans="1:7" x14ac:dyDescent="0.4">
      <c r="B5" s="6"/>
    </row>
    <row r="6" spans="1:7" ht="32.4" x14ac:dyDescent="0.4">
      <c r="A6" s="57" t="s">
        <v>83</v>
      </c>
      <c r="B6" s="71" t="s">
        <v>125</v>
      </c>
      <c r="C6" s="72" t="s">
        <v>96</v>
      </c>
      <c r="F6" s="72" t="s">
        <v>104</v>
      </c>
      <c r="G6" s="72" t="s">
        <v>124</v>
      </c>
    </row>
    <row r="7" spans="1:7" x14ac:dyDescent="0.4">
      <c r="A7" s="81"/>
      <c r="B7" s="82"/>
      <c r="C7" s="83"/>
      <c r="D7" s="70">
        <f>F7*G7</f>
        <v>0</v>
      </c>
      <c r="E7" s="75"/>
      <c r="F7" s="41"/>
      <c r="G7" s="41"/>
    </row>
    <row r="8" spans="1:7" x14ac:dyDescent="0.4">
      <c r="A8" s="77"/>
      <c r="B8" s="78"/>
      <c r="C8" s="74"/>
      <c r="D8" s="70">
        <f t="shared" ref="D8:D22" si="0">F8*G8</f>
        <v>0</v>
      </c>
      <c r="E8" s="75"/>
      <c r="F8" s="76"/>
      <c r="G8" s="76"/>
    </row>
    <row r="9" spans="1:7" x14ac:dyDescent="0.4">
      <c r="A9" s="84"/>
      <c r="B9" s="85"/>
      <c r="C9" s="83"/>
      <c r="D9" s="70">
        <f t="shared" si="0"/>
        <v>0</v>
      </c>
      <c r="E9" s="75"/>
      <c r="F9" s="41"/>
      <c r="G9" s="41"/>
    </row>
    <row r="10" spans="1:7" x14ac:dyDescent="0.4">
      <c r="A10" s="73"/>
      <c r="B10" s="73"/>
      <c r="C10" s="74"/>
      <c r="D10" s="70">
        <f t="shared" si="0"/>
        <v>0</v>
      </c>
      <c r="E10" s="75"/>
      <c r="F10" s="76"/>
      <c r="G10" s="76"/>
    </row>
    <row r="11" spans="1:7" x14ac:dyDescent="0.4">
      <c r="A11" s="82"/>
      <c r="B11" s="85"/>
      <c r="C11" s="83"/>
      <c r="D11" s="70">
        <f t="shared" si="0"/>
        <v>0</v>
      </c>
      <c r="E11" s="75"/>
      <c r="F11" s="41"/>
      <c r="G11" s="41"/>
    </row>
    <row r="12" spans="1:7" x14ac:dyDescent="0.4">
      <c r="A12" s="82"/>
      <c r="B12" s="82"/>
      <c r="C12" s="83"/>
      <c r="D12" s="70">
        <f t="shared" si="0"/>
        <v>0</v>
      </c>
      <c r="E12" s="75"/>
      <c r="F12" s="41"/>
      <c r="G12" s="41"/>
    </row>
    <row r="13" spans="1:7" x14ac:dyDescent="0.4">
      <c r="A13" s="73"/>
      <c r="B13" s="76"/>
      <c r="C13" s="76"/>
      <c r="D13" s="70">
        <f t="shared" si="0"/>
        <v>0</v>
      </c>
      <c r="E13" s="75"/>
      <c r="F13" s="76"/>
      <c r="G13" s="76"/>
    </row>
    <row r="14" spans="1:7" x14ac:dyDescent="0.4">
      <c r="A14" s="82"/>
      <c r="B14" s="85"/>
      <c r="C14" s="83"/>
      <c r="D14" s="70">
        <f t="shared" si="0"/>
        <v>0</v>
      </c>
      <c r="E14" s="75"/>
      <c r="F14" s="41"/>
      <c r="G14" s="41"/>
    </row>
    <row r="15" spans="1:7" x14ac:dyDescent="0.4">
      <c r="A15" s="73"/>
      <c r="B15" s="78"/>
      <c r="C15" s="74"/>
      <c r="D15" s="70">
        <f t="shared" si="0"/>
        <v>0</v>
      </c>
      <c r="E15" s="75"/>
      <c r="F15" s="76"/>
      <c r="G15" s="76"/>
    </row>
    <row r="16" spans="1:7" x14ac:dyDescent="0.4">
      <c r="A16" s="82"/>
      <c r="B16" s="85"/>
      <c r="C16" s="83"/>
      <c r="D16" s="70">
        <f t="shared" si="0"/>
        <v>0</v>
      </c>
      <c r="E16" s="75"/>
      <c r="F16" s="41"/>
      <c r="G16" s="41"/>
    </row>
    <row r="17" spans="1:7" x14ac:dyDescent="0.4">
      <c r="A17" s="73"/>
      <c r="B17" s="78"/>
      <c r="C17" s="74"/>
      <c r="D17" s="70">
        <f t="shared" si="0"/>
        <v>0</v>
      </c>
      <c r="E17" s="75"/>
      <c r="F17" s="79"/>
      <c r="G17" s="80"/>
    </row>
    <row r="18" spans="1:7" x14ac:dyDescent="0.4">
      <c r="A18" s="82"/>
      <c r="B18" s="85"/>
      <c r="C18" s="83"/>
      <c r="D18" s="70">
        <f t="shared" si="0"/>
        <v>0</v>
      </c>
      <c r="E18" s="75"/>
      <c r="F18" s="41"/>
      <c r="G18" s="41"/>
    </row>
    <row r="19" spans="1:7" x14ac:dyDescent="0.4">
      <c r="A19" s="73"/>
      <c r="B19" s="78"/>
      <c r="C19" s="74"/>
      <c r="D19" s="70">
        <f t="shared" si="0"/>
        <v>0</v>
      </c>
      <c r="E19" s="75"/>
      <c r="F19" s="76"/>
      <c r="G19" s="76"/>
    </row>
    <row r="20" spans="1:7" x14ac:dyDescent="0.4">
      <c r="A20" s="82"/>
      <c r="B20" s="85"/>
      <c r="C20" s="83"/>
      <c r="D20" s="70">
        <f t="shared" si="0"/>
        <v>0</v>
      </c>
      <c r="E20" s="75"/>
      <c r="F20" s="41"/>
      <c r="G20" s="41"/>
    </row>
    <row r="21" spans="1:7" x14ac:dyDescent="0.4">
      <c r="A21" s="76"/>
      <c r="B21" s="78"/>
      <c r="C21" s="76"/>
      <c r="D21" s="70">
        <f t="shared" si="0"/>
        <v>0</v>
      </c>
      <c r="E21" s="75"/>
      <c r="F21" s="76"/>
      <c r="G21" s="76"/>
    </row>
    <row r="22" spans="1:7" x14ac:dyDescent="0.4">
      <c r="A22" s="41"/>
      <c r="B22" s="41"/>
      <c r="C22" s="41"/>
      <c r="D22" s="70">
        <f t="shared" si="0"/>
        <v>0</v>
      </c>
      <c r="E22" s="75"/>
      <c r="F22" s="41"/>
      <c r="G22" s="41"/>
    </row>
    <row r="23" spans="1:7" x14ac:dyDescent="0.4">
      <c r="A23" s="109" t="s">
        <v>77</v>
      </c>
      <c r="D23" s="128">
        <f>SUM(D7:D22)</f>
        <v>0</v>
      </c>
    </row>
    <row r="26" spans="1:7" ht="27" x14ac:dyDescent="0.6">
      <c r="A26" s="146" t="s">
        <v>37</v>
      </c>
      <c r="B26" s="146"/>
      <c r="C26" s="146"/>
      <c r="D26" s="146"/>
      <c r="E26" s="146"/>
      <c r="F26" s="146"/>
      <c r="G26" s="146"/>
    </row>
    <row r="27" spans="1:7" ht="27" x14ac:dyDescent="0.6">
      <c r="A27" s="146" t="s">
        <v>38</v>
      </c>
      <c r="B27" s="146"/>
      <c r="C27" s="146"/>
      <c r="D27" s="146"/>
      <c r="E27" s="146"/>
      <c r="F27" s="146"/>
      <c r="G27" s="146"/>
    </row>
    <row r="28" spans="1:7" x14ac:dyDescent="0.4">
      <c r="A28" s="137">
        <f ca="1">TODAY()</f>
        <v>44602</v>
      </c>
      <c r="B28" s="137"/>
      <c r="C28" s="137"/>
      <c r="D28" s="137"/>
      <c r="E28" s="137"/>
      <c r="F28" s="137"/>
      <c r="G28" s="137"/>
    </row>
    <row r="29" spans="1:7" ht="18" x14ac:dyDescent="0.4">
      <c r="A29" s="86"/>
      <c r="B29" s="58"/>
      <c r="C29" s="58"/>
      <c r="D29" s="58"/>
      <c r="E29" s="63"/>
      <c r="F29" s="63"/>
      <c r="G29" s="63"/>
    </row>
    <row r="30" spans="1:7" x14ac:dyDescent="0.4">
      <c r="A30" s="63"/>
      <c r="B30" s="58" t="s">
        <v>1</v>
      </c>
      <c r="C30" s="58" t="s">
        <v>40</v>
      </c>
      <c r="D30" s="87" t="s">
        <v>89</v>
      </c>
      <c r="E30" s="63"/>
      <c r="F30" s="58" t="s">
        <v>56</v>
      </c>
      <c r="G30" s="60" t="s">
        <v>95</v>
      </c>
    </row>
    <row r="31" spans="1:7" x14ac:dyDescent="0.4">
      <c r="A31" s="61" t="s">
        <v>82</v>
      </c>
      <c r="B31" s="58" t="s">
        <v>39</v>
      </c>
      <c r="C31" s="58" t="s">
        <v>41</v>
      </c>
      <c r="D31" s="58" t="s">
        <v>90</v>
      </c>
      <c r="E31" s="63"/>
      <c r="F31" s="63"/>
      <c r="G31" s="63"/>
    </row>
    <row r="32" spans="1:7" x14ac:dyDescent="0.4">
      <c r="A32" s="41"/>
      <c r="B32" s="70">
        <f>(C32*G32)/12</f>
        <v>0</v>
      </c>
      <c r="C32" s="88"/>
      <c r="D32" s="70">
        <f>F32-C32</f>
        <v>0</v>
      </c>
      <c r="E32" s="63"/>
      <c r="F32" s="88"/>
      <c r="G32" s="89">
        <v>0.04</v>
      </c>
    </row>
    <row r="33" spans="1:7" x14ac:dyDescent="0.4">
      <c r="A33" s="76"/>
      <c r="B33" s="70">
        <f>(C33*G33)/12</f>
        <v>0</v>
      </c>
      <c r="C33" s="88"/>
      <c r="D33" s="70">
        <f>F33-C33</f>
        <v>0</v>
      </c>
      <c r="E33" s="63"/>
      <c r="F33" s="88"/>
      <c r="G33" s="89">
        <v>0.08</v>
      </c>
    </row>
    <row r="34" spans="1:7" x14ac:dyDescent="0.4">
      <c r="A34" s="41"/>
      <c r="B34" s="70">
        <f t="shared" ref="B34:B39" si="1">(C34*G34)/12</f>
        <v>0</v>
      </c>
      <c r="C34" s="88"/>
      <c r="D34" s="70">
        <f t="shared" ref="D34:D39" si="2">F34-C34</f>
        <v>0</v>
      </c>
      <c r="E34" s="63"/>
      <c r="F34" s="88"/>
      <c r="G34" s="89"/>
    </row>
    <row r="35" spans="1:7" x14ac:dyDescent="0.4">
      <c r="A35" s="76"/>
      <c r="B35" s="70">
        <f t="shared" si="1"/>
        <v>0</v>
      </c>
      <c r="C35" s="88"/>
      <c r="D35" s="70">
        <f t="shared" si="2"/>
        <v>0</v>
      </c>
      <c r="E35" s="63"/>
      <c r="F35" s="88"/>
      <c r="G35" s="89"/>
    </row>
    <row r="36" spans="1:7" x14ac:dyDescent="0.4">
      <c r="A36" s="41"/>
      <c r="B36" s="70">
        <f t="shared" si="1"/>
        <v>0</v>
      </c>
      <c r="C36" s="88"/>
      <c r="D36" s="70">
        <f t="shared" si="2"/>
        <v>0</v>
      </c>
      <c r="E36" s="63"/>
      <c r="F36" s="88"/>
      <c r="G36" s="89"/>
    </row>
    <row r="37" spans="1:7" x14ac:dyDescent="0.4">
      <c r="A37" s="76"/>
      <c r="B37" s="70">
        <f t="shared" si="1"/>
        <v>0</v>
      </c>
      <c r="C37" s="88"/>
      <c r="D37" s="70">
        <f t="shared" si="2"/>
        <v>0</v>
      </c>
      <c r="E37" s="63"/>
      <c r="F37" s="88"/>
      <c r="G37" s="89"/>
    </row>
    <row r="38" spans="1:7" x14ac:dyDescent="0.4">
      <c r="A38" s="41"/>
      <c r="B38" s="70">
        <f t="shared" si="1"/>
        <v>0</v>
      </c>
      <c r="C38" s="88"/>
      <c r="D38" s="70">
        <f t="shared" si="2"/>
        <v>0</v>
      </c>
      <c r="E38" s="63"/>
      <c r="F38" s="88"/>
      <c r="G38" s="89"/>
    </row>
    <row r="39" spans="1:7" x14ac:dyDescent="0.4">
      <c r="A39" s="41"/>
      <c r="B39" s="70">
        <f t="shared" si="1"/>
        <v>0</v>
      </c>
      <c r="C39" s="88"/>
      <c r="D39" s="70">
        <f t="shared" si="2"/>
        <v>0</v>
      </c>
      <c r="E39" s="63"/>
      <c r="F39" s="88"/>
      <c r="G39" s="89"/>
    </row>
    <row r="40" spans="1:7" x14ac:dyDescent="0.4">
      <c r="A40" s="91" t="s">
        <v>59</v>
      </c>
      <c r="B40" s="90">
        <f>SUM(B32:B39)</f>
        <v>0</v>
      </c>
      <c r="C40" s="90">
        <f>SUM(C32:C39)</f>
        <v>0</v>
      </c>
      <c r="D40" s="90">
        <f>SUM(D32:D39)</f>
        <v>0</v>
      </c>
      <c r="E40" s="63"/>
      <c r="F40" s="63"/>
      <c r="G40" s="63"/>
    </row>
    <row r="41" spans="1:7" x14ac:dyDescent="0.4">
      <c r="A41" s="34"/>
      <c r="B41" s="129"/>
      <c r="C41" s="62"/>
      <c r="D41" s="62"/>
    </row>
    <row r="42" spans="1:7" x14ac:dyDescent="0.4">
      <c r="A42" s="34" t="s">
        <v>42</v>
      </c>
      <c r="B42" s="62"/>
      <c r="C42" s="62"/>
      <c r="D42" s="62"/>
      <c r="F42" s="58" t="s">
        <v>56</v>
      </c>
    </row>
    <row r="43" spans="1:7" x14ac:dyDescent="0.4">
      <c r="A43" s="41"/>
      <c r="B43" s="70">
        <f>(C43*G43)/12</f>
        <v>0</v>
      </c>
      <c r="C43" s="88"/>
      <c r="D43" s="70">
        <f>F43-C43</f>
        <v>0</v>
      </c>
      <c r="F43" s="88">
        <v>0</v>
      </c>
      <c r="G43" s="89"/>
    </row>
    <row r="44" spans="1:7" x14ac:dyDescent="0.4">
      <c r="A44" s="41"/>
      <c r="B44" s="70">
        <f t="shared" ref="B44:B47" si="3">(C44*G44)/12</f>
        <v>0</v>
      </c>
      <c r="C44" s="88"/>
      <c r="D44" s="70">
        <f>F44-C44</f>
        <v>0</v>
      </c>
      <c r="F44" s="88">
        <v>0</v>
      </c>
      <c r="G44" s="89"/>
    </row>
    <row r="45" spans="1:7" x14ac:dyDescent="0.4">
      <c r="A45" s="41"/>
      <c r="B45" s="70">
        <f t="shared" si="3"/>
        <v>0</v>
      </c>
      <c r="C45" s="88"/>
      <c r="D45" s="70">
        <f>F45-C45</f>
        <v>0</v>
      </c>
      <c r="F45" s="88">
        <v>0</v>
      </c>
      <c r="G45" s="89"/>
    </row>
    <row r="46" spans="1:7" x14ac:dyDescent="0.4">
      <c r="A46" s="41"/>
      <c r="B46" s="70">
        <f t="shared" si="3"/>
        <v>0</v>
      </c>
      <c r="C46" s="88"/>
      <c r="D46" s="70"/>
      <c r="F46" s="88">
        <v>0</v>
      </c>
      <c r="G46" s="89"/>
    </row>
    <row r="47" spans="1:7" x14ac:dyDescent="0.4">
      <c r="A47" s="41"/>
      <c r="B47" s="70">
        <f t="shared" si="3"/>
        <v>0</v>
      </c>
      <c r="C47" s="88"/>
      <c r="D47" s="70">
        <v>0</v>
      </c>
      <c r="F47" s="88"/>
      <c r="G47" s="89"/>
    </row>
    <row r="48" spans="1:7" x14ac:dyDescent="0.4">
      <c r="A48" s="91" t="s">
        <v>43</v>
      </c>
      <c r="B48" s="90">
        <f>SUM(B43:B47)</f>
        <v>0</v>
      </c>
      <c r="C48" s="90">
        <f>SUM(C43:C47)</f>
        <v>0</v>
      </c>
      <c r="D48" s="90">
        <f>SUM(D43:D47)</f>
        <v>0</v>
      </c>
      <c r="E48" s="63"/>
      <c r="F48" s="63"/>
      <c r="G48" s="63"/>
    </row>
    <row r="49" spans="1:7" s="126" customFormat="1" ht="18" x14ac:dyDescent="0.4">
      <c r="B49" s="127"/>
      <c r="C49" s="127"/>
      <c r="D49" s="127"/>
    </row>
    <row r="50" spans="1:7" x14ac:dyDescent="0.4">
      <c r="A50" s="34" t="s">
        <v>44</v>
      </c>
      <c r="B50" s="62"/>
      <c r="C50" s="62"/>
      <c r="D50" s="62"/>
    </row>
    <row r="51" spans="1:7" x14ac:dyDescent="0.4">
      <c r="A51" s="41"/>
      <c r="B51" s="70"/>
      <c r="C51" s="88"/>
      <c r="D51" s="90"/>
    </row>
    <row r="52" spans="1:7" x14ac:dyDescent="0.4">
      <c r="A52" s="41"/>
      <c r="B52" s="70"/>
      <c r="C52" s="88"/>
      <c r="D52" s="90"/>
    </row>
    <row r="53" spans="1:7" x14ac:dyDescent="0.4">
      <c r="A53" s="41"/>
      <c r="B53" s="70"/>
      <c r="C53" s="88"/>
      <c r="D53" s="90"/>
    </row>
    <row r="54" spans="1:7" x14ac:dyDescent="0.4">
      <c r="A54" s="41"/>
      <c r="B54" s="70"/>
      <c r="C54" s="88"/>
      <c r="D54" s="90"/>
    </row>
    <row r="55" spans="1:7" x14ac:dyDescent="0.4">
      <c r="A55" s="41"/>
      <c r="B55" s="70"/>
      <c r="C55" s="88"/>
      <c r="D55" s="90"/>
    </row>
    <row r="56" spans="1:7" x14ac:dyDescent="0.4">
      <c r="A56" s="41"/>
      <c r="B56" s="70"/>
      <c r="C56" s="88"/>
      <c r="D56" s="90"/>
    </row>
    <row r="57" spans="1:7" x14ac:dyDescent="0.4">
      <c r="A57" s="41"/>
      <c r="B57" s="70"/>
      <c r="C57" s="88"/>
      <c r="D57" s="90"/>
    </row>
    <row r="58" spans="1:7" x14ac:dyDescent="0.4">
      <c r="A58" s="41"/>
      <c r="B58" s="70"/>
      <c r="C58" s="88"/>
      <c r="D58" s="90"/>
    </row>
    <row r="59" spans="1:7" x14ac:dyDescent="0.4">
      <c r="A59" s="41"/>
      <c r="B59" s="70"/>
      <c r="C59" s="88"/>
      <c r="D59" s="90"/>
    </row>
    <row r="60" spans="1:7" x14ac:dyDescent="0.4">
      <c r="A60" s="41"/>
      <c r="B60" s="70"/>
      <c r="C60" s="88"/>
      <c r="D60" s="90"/>
    </row>
    <row r="61" spans="1:7" x14ac:dyDescent="0.4">
      <c r="A61" s="91" t="s">
        <v>55</v>
      </c>
      <c r="B61" s="90"/>
      <c r="C61" s="90">
        <f>SUM(C51:C60)</f>
        <v>0</v>
      </c>
      <c r="D61" s="90"/>
      <c r="E61" s="63"/>
      <c r="F61" s="63"/>
      <c r="G61" s="63"/>
    </row>
    <row r="62" spans="1:7" x14ac:dyDescent="0.4">
      <c r="A62" s="63"/>
      <c r="B62" s="64"/>
      <c r="C62" s="64"/>
      <c r="D62" s="64"/>
    </row>
    <row r="63" spans="1:7" x14ac:dyDescent="0.4">
      <c r="A63" s="65" t="s">
        <v>57</v>
      </c>
      <c r="B63" s="62"/>
      <c r="C63" s="62"/>
      <c r="D63" s="62"/>
    </row>
    <row r="64" spans="1:7" x14ac:dyDescent="0.4">
      <c r="A64" s="41"/>
      <c r="B64" s="70"/>
      <c r="C64" s="88"/>
      <c r="D64" s="90"/>
    </row>
    <row r="65" spans="1:4" x14ac:dyDescent="0.4">
      <c r="A65" s="41"/>
      <c r="B65" s="70"/>
      <c r="C65" s="88"/>
      <c r="D65" s="90"/>
    </row>
    <row r="66" spans="1:4" x14ac:dyDescent="0.4">
      <c r="A66" s="41"/>
      <c r="B66" s="70"/>
      <c r="C66" s="88"/>
      <c r="D66" s="90"/>
    </row>
    <row r="67" spans="1:4" x14ac:dyDescent="0.4">
      <c r="A67" s="41"/>
      <c r="B67" s="70"/>
      <c r="C67" s="88"/>
      <c r="D67" s="90"/>
    </row>
    <row r="68" spans="1:4" x14ac:dyDescent="0.4">
      <c r="A68" s="41"/>
      <c r="B68" s="70"/>
      <c r="C68" s="88"/>
      <c r="D68" s="90"/>
    </row>
    <row r="69" spans="1:4" x14ac:dyDescent="0.4">
      <c r="A69" s="41"/>
      <c r="B69" s="70"/>
      <c r="C69" s="88"/>
      <c r="D69" s="90"/>
    </row>
    <row r="70" spans="1:4" ht="32.4" x14ac:dyDescent="0.4">
      <c r="A70" s="91" t="s">
        <v>60</v>
      </c>
      <c r="B70" s="90"/>
      <c r="C70" s="90">
        <f>SUM(C64:C69)</f>
        <v>0</v>
      </c>
      <c r="D70" s="90">
        <f>SUM(D64:D69)</f>
        <v>0</v>
      </c>
    </row>
    <row r="71" spans="1:4" x14ac:dyDescent="0.4">
      <c r="B71" s="62"/>
      <c r="C71" s="62"/>
      <c r="D71" s="62"/>
    </row>
    <row r="72" spans="1:4" x14ac:dyDescent="0.4">
      <c r="A72" s="34" t="s">
        <v>45</v>
      </c>
      <c r="B72" s="129">
        <f>B40+B48+B61</f>
        <v>0</v>
      </c>
      <c r="C72" s="129">
        <f>-C40-C48+C61+C70</f>
        <v>0</v>
      </c>
      <c r="D72" s="129">
        <f>D40+D48+D61+D70</f>
        <v>0</v>
      </c>
    </row>
    <row r="73" spans="1:4" x14ac:dyDescent="0.4">
      <c r="B73" s="62"/>
      <c r="C73" s="62"/>
      <c r="D73" s="62"/>
    </row>
    <row r="74" spans="1:4" x14ac:dyDescent="0.4">
      <c r="A74" s="130" t="s">
        <v>128</v>
      </c>
      <c r="B74" s="130" t="s">
        <v>126</v>
      </c>
      <c r="C74" s="130" t="s">
        <v>127</v>
      </c>
      <c r="D74" s="130"/>
    </row>
    <row r="75" spans="1:4" x14ac:dyDescent="0.4">
      <c r="A75" s="41"/>
      <c r="B75" s="41"/>
      <c r="C75" s="41"/>
      <c r="D75" s="41"/>
    </row>
    <row r="76" spans="1:4" x14ac:dyDescent="0.4">
      <c r="A76" s="41"/>
      <c r="B76" s="41"/>
      <c r="C76" s="41"/>
      <c r="D76" s="41"/>
    </row>
    <row r="77" spans="1:4" x14ac:dyDescent="0.4">
      <c r="A77" s="41"/>
      <c r="B77" s="41"/>
      <c r="C77" s="41"/>
      <c r="D77" s="41"/>
    </row>
    <row r="78" spans="1:4" x14ac:dyDescent="0.4">
      <c r="A78" s="41"/>
      <c r="B78" s="41"/>
      <c r="C78" s="41"/>
      <c r="D78" s="41"/>
    </row>
    <row r="79" spans="1:4" x14ac:dyDescent="0.4">
      <c r="A79" s="41"/>
      <c r="B79" s="41"/>
      <c r="C79" s="41"/>
      <c r="D79" s="41"/>
    </row>
    <row r="80" spans="1:4" x14ac:dyDescent="0.4">
      <c r="A80" s="41"/>
      <c r="B80" s="41"/>
      <c r="C80" s="41"/>
      <c r="D80" s="41"/>
    </row>
    <row r="81" spans="1:4" x14ac:dyDescent="0.4">
      <c r="A81" s="41"/>
      <c r="B81" s="41"/>
      <c r="C81" s="41"/>
      <c r="D81" s="41"/>
    </row>
    <row r="82" spans="1:4" x14ac:dyDescent="0.4">
      <c r="A82" s="41"/>
      <c r="B82" s="41"/>
      <c r="C82" s="41"/>
      <c r="D82" s="41"/>
    </row>
    <row r="83" spans="1:4" x14ac:dyDescent="0.4">
      <c r="A83" s="41"/>
      <c r="B83" s="41"/>
      <c r="C83" s="41"/>
      <c r="D83" s="41"/>
    </row>
    <row r="84" spans="1:4" x14ac:dyDescent="0.4">
      <c r="A84" s="41"/>
      <c r="B84" s="41"/>
      <c r="C84" s="41"/>
      <c r="D84" s="41"/>
    </row>
    <row r="85" spans="1:4" x14ac:dyDescent="0.4">
      <c r="A85" s="41"/>
      <c r="B85" s="41"/>
      <c r="C85" s="41"/>
      <c r="D85" s="41"/>
    </row>
    <row r="86" spans="1:4" x14ac:dyDescent="0.4">
      <c r="A86" s="41"/>
      <c r="B86" s="41"/>
      <c r="C86" s="41"/>
      <c r="D86" s="41"/>
    </row>
    <row r="87" spans="1:4" x14ac:dyDescent="0.4">
      <c r="A87" s="41"/>
      <c r="B87" s="41"/>
      <c r="C87" s="41"/>
      <c r="D87" s="41"/>
    </row>
  </sheetData>
  <sheetProtection algorithmName="SHA-512" hashValue="vyOuGLLn+Jkkgp6gWshsjPmaqdIa4JNXopPmC/zRwQ7BwS3SEEZDm27oE+fEhEuXVdBv4hrrQd4el/yuhNEAOQ==" saltValue="dO/cTvoOR4uOQmVBtGQdeA==" spinCount="100000" sheet="1" objects="1" scenarios="1" selectLockedCells="1"/>
  <mergeCells count="7">
    <mergeCell ref="A28:G28"/>
    <mergeCell ref="E2:G2"/>
    <mergeCell ref="A1:G1"/>
    <mergeCell ref="A3:G3"/>
    <mergeCell ref="A27:G27"/>
    <mergeCell ref="A26:G26"/>
    <mergeCell ref="A2:D2"/>
  </mergeCells>
  <phoneticPr fontId="2" type="noConversion"/>
  <pageMargins left="0.75" right="0.75" top="1" bottom="1" header="0.5" footer="0.5"/>
  <pageSetup scale="98" fitToHeight="0" orientation="portrait" horizontalDpi="300" verticalDpi="300"/>
  <headerFooter alignWithMargins="0"/>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17"/>
  <sheetViews>
    <sheetView showGridLines="0" showRowColHeaders="0" tabSelected="1" zoomScaleNormal="100" zoomScalePageLayoutView="125" workbookViewId="0">
      <selection activeCell="G6" sqref="G6"/>
    </sheetView>
  </sheetViews>
  <sheetFormatPr defaultColWidth="8.6640625" defaultRowHeight="13.2" x14ac:dyDescent="0.25"/>
  <cols>
    <col min="1" max="1" width="3.109375" style="2" customWidth="1"/>
    <col min="2" max="2" width="56.44140625" customWidth="1"/>
    <col min="3" max="3" width="20.109375" style="2" customWidth="1"/>
    <col min="4" max="4" width="13.44140625" customWidth="1"/>
    <col min="5" max="5" width="14" bestFit="1" customWidth="1"/>
    <col min="6" max="6" width="12.109375" customWidth="1"/>
    <col min="7" max="7" width="13.109375" customWidth="1"/>
    <col min="8" max="8" width="10.33203125" bestFit="1" customWidth="1"/>
  </cols>
  <sheetData>
    <row r="1" spans="1:12" s="5" customFormat="1" ht="65.25" customHeight="1" x14ac:dyDescent="0.4">
      <c r="A1" s="145" t="s">
        <v>129</v>
      </c>
      <c r="B1" s="145"/>
      <c r="C1" s="145"/>
      <c r="D1" s="145"/>
      <c r="E1" s="145"/>
      <c r="F1" s="145"/>
      <c r="G1" s="145"/>
      <c r="H1" s="145"/>
    </row>
    <row r="2" spans="1:12" s="5" customFormat="1" ht="27" x14ac:dyDescent="0.4">
      <c r="A2" s="147" t="s">
        <v>130</v>
      </c>
      <c r="B2" s="147"/>
      <c r="C2" s="147"/>
      <c r="D2" s="147"/>
      <c r="E2" s="148" t="s">
        <v>116</v>
      </c>
      <c r="F2" s="148"/>
      <c r="G2" s="148"/>
      <c r="H2" s="148"/>
    </row>
    <row r="3" spans="1:12" s="5" customFormat="1" ht="16.2" x14ac:dyDescent="0.4">
      <c r="A3" s="137">
        <f ca="1">TODAY()</f>
        <v>44602</v>
      </c>
      <c r="B3" s="137"/>
      <c r="C3" s="137"/>
      <c r="D3" s="137"/>
      <c r="E3" s="137"/>
      <c r="F3" s="137"/>
      <c r="G3" s="137"/>
    </row>
    <row r="4" spans="1:12" ht="16.2" x14ac:dyDescent="0.4">
      <c r="A4" s="69"/>
      <c r="B4" s="69"/>
      <c r="C4" s="69"/>
      <c r="D4" s="69"/>
      <c r="E4" s="69"/>
      <c r="F4" s="69"/>
      <c r="G4" s="69"/>
      <c r="H4" s="69"/>
      <c r="I4" s="5"/>
      <c r="J4" s="5"/>
      <c r="K4" s="5"/>
      <c r="L4" s="5"/>
    </row>
    <row r="5" spans="1:12" s="1" customFormat="1" ht="30" customHeight="1" thickBot="1" x14ac:dyDescent="0.45">
      <c r="A5" s="93" t="s">
        <v>46</v>
      </c>
      <c r="B5" s="96" t="s">
        <v>48</v>
      </c>
      <c r="C5" s="108" t="s">
        <v>131</v>
      </c>
      <c r="D5" s="100" t="s">
        <v>64</v>
      </c>
      <c r="E5" s="100" t="s">
        <v>65</v>
      </c>
      <c r="F5" s="100" t="s">
        <v>132</v>
      </c>
      <c r="G5" s="108" t="s">
        <v>133</v>
      </c>
      <c r="H5" s="100" t="s">
        <v>134</v>
      </c>
      <c r="I5" s="5"/>
      <c r="J5" s="5"/>
      <c r="K5" s="5"/>
      <c r="L5" s="5"/>
    </row>
    <row r="6" spans="1:12" s="1" customFormat="1" ht="23.25" customHeight="1" x14ac:dyDescent="0.4">
      <c r="A6" s="101">
        <v>1</v>
      </c>
      <c r="B6" s="104" t="str">
        <f>'Real Estate Balance Sheet'!B16</f>
        <v>Rental Property Address 1</v>
      </c>
      <c r="C6" s="107"/>
      <c r="D6" s="105">
        <f>'Real Estate Balance Sheet'!D16</f>
        <v>0</v>
      </c>
      <c r="E6" s="105">
        <f>'Real Estate Balance Sheet'!F16</f>
        <v>0</v>
      </c>
      <c r="F6" s="105">
        <f>'Real Estate Balance Sheet'!G16</f>
        <v>0</v>
      </c>
      <c r="G6" s="106"/>
      <c r="H6" s="105">
        <f>'Real Estate Balance Sheet'!E16</f>
        <v>0</v>
      </c>
      <c r="I6" s="5"/>
      <c r="J6" s="5"/>
      <c r="K6" s="5"/>
      <c r="L6" s="5"/>
    </row>
    <row r="7" spans="1:12" s="1" customFormat="1" ht="23.25" customHeight="1" x14ac:dyDescent="0.4">
      <c r="A7" s="102">
        <v>2</v>
      </c>
      <c r="B7" s="104">
        <f>'Real Estate Balance Sheet'!B17</f>
        <v>0</v>
      </c>
      <c r="C7" s="107"/>
      <c r="D7" s="105">
        <f>'Real Estate Balance Sheet'!D17</f>
        <v>0</v>
      </c>
      <c r="E7" s="105">
        <f>'Real Estate Balance Sheet'!F17</f>
        <v>0</v>
      </c>
      <c r="F7" s="105">
        <f>'Real Estate Balance Sheet'!G17</f>
        <v>0</v>
      </c>
      <c r="G7" s="106"/>
      <c r="H7" s="105">
        <f>'Real Estate Balance Sheet'!E17</f>
        <v>0</v>
      </c>
      <c r="I7" s="5"/>
      <c r="J7" s="92" t="s">
        <v>103</v>
      </c>
      <c r="K7" s="5"/>
      <c r="L7" s="5"/>
    </row>
    <row r="8" spans="1:12" s="1" customFormat="1" ht="23.25" customHeight="1" x14ac:dyDescent="0.4">
      <c r="A8" s="102">
        <v>3</v>
      </c>
      <c r="B8" s="104">
        <f>'Real Estate Balance Sheet'!B18</f>
        <v>0</v>
      </c>
      <c r="C8" s="107"/>
      <c r="D8" s="105"/>
      <c r="E8" s="105">
        <f>'Real Estate Balance Sheet'!F18</f>
        <v>0</v>
      </c>
      <c r="F8" s="105">
        <f>'Real Estate Balance Sheet'!G18</f>
        <v>0</v>
      </c>
      <c r="G8" s="106"/>
      <c r="H8" s="105">
        <f>'Real Estate Balance Sheet'!E18</f>
        <v>0</v>
      </c>
      <c r="I8" s="5"/>
      <c r="J8" s="5"/>
      <c r="K8" s="5"/>
      <c r="L8" s="5"/>
    </row>
    <row r="9" spans="1:12" s="1" customFormat="1" ht="23.25" customHeight="1" x14ac:dyDescent="0.4">
      <c r="A9" s="102">
        <v>4</v>
      </c>
      <c r="B9" s="104">
        <f>'Real Estate Balance Sheet'!B19</f>
        <v>0</v>
      </c>
      <c r="C9" s="107"/>
      <c r="D9" s="105">
        <f>'Real Estate Balance Sheet'!D19</f>
        <v>0</v>
      </c>
      <c r="E9" s="105">
        <f>'Real Estate Balance Sheet'!F19</f>
        <v>0</v>
      </c>
      <c r="F9" s="105">
        <f>'Real Estate Balance Sheet'!G19</f>
        <v>0</v>
      </c>
      <c r="G9" s="106"/>
      <c r="H9" s="105">
        <f>'Real Estate Balance Sheet'!E19</f>
        <v>0</v>
      </c>
      <c r="I9" s="5"/>
      <c r="J9" s="5"/>
      <c r="K9" s="5"/>
      <c r="L9" s="5"/>
    </row>
    <row r="10" spans="1:12" s="1" customFormat="1" ht="23.25" customHeight="1" x14ac:dyDescent="0.4">
      <c r="A10" s="102">
        <v>5</v>
      </c>
      <c r="B10" s="104">
        <f>'Real Estate Balance Sheet'!B20</f>
        <v>0</v>
      </c>
      <c r="C10" s="107"/>
      <c r="D10" s="105">
        <f>'Real Estate Balance Sheet'!D20</f>
        <v>0</v>
      </c>
      <c r="E10" s="105">
        <f>'Real Estate Balance Sheet'!F20</f>
        <v>0</v>
      </c>
      <c r="F10" s="105">
        <f>'Real Estate Balance Sheet'!G20</f>
        <v>0</v>
      </c>
      <c r="G10" s="106"/>
      <c r="H10" s="105">
        <f>'Real Estate Balance Sheet'!E20</f>
        <v>0</v>
      </c>
      <c r="I10" s="5"/>
      <c r="J10" s="5"/>
      <c r="K10" s="5"/>
      <c r="L10" s="5"/>
    </row>
    <row r="11" spans="1:12" s="1" customFormat="1" ht="23.25" customHeight="1" x14ac:dyDescent="0.4">
      <c r="A11" s="102">
        <v>6</v>
      </c>
      <c r="B11" s="104">
        <f>'Real Estate Balance Sheet'!B21</f>
        <v>0</v>
      </c>
      <c r="C11" s="107"/>
      <c r="D11" s="105">
        <f>'Real Estate Balance Sheet'!D21</f>
        <v>0</v>
      </c>
      <c r="E11" s="105">
        <f>'Real Estate Balance Sheet'!F21</f>
        <v>0</v>
      </c>
      <c r="F11" s="105">
        <f>'Real Estate Balance Sheet'!G21</f>
        <v>0</v>
      </c>
      <c r="G11" s="106"/>
      <c r="H11" s="105">
        <f>'Real Estate Balance Sheet'!E21</f>
        <v>0</v>
      </c>
      <c r="I11" s="5"/>
      <c r="J11" s="5"/>
      <c r="K11" s="5"/>
      <c r="L11" s="5"/>
    </row>
    <row r="12" spans="1:12" s="1" customFormat="1" ht="23.25" customHeight="1" x14ac:dyDescent="0.4">
      <c r="A12" s="102">
        <v>7</v>
      </c>
      <c r="B12" s="104">
        <f>'Real Estate Balance Sheet'!B22</f>
        <v>0</v>
      </c>
      <c r="C12" s="107"/>
      <c r="D12" s="105">
        <f>'Real Estate Balance Sheet'!D22</f>
        <v>0</v>
      </c>
      <c r="E12" s="105">
        <f>'Real Estate Balance Sheet'!F22</f>
        <v>0</v>
      </c>
      <c r="F12" s="105">
        <f>'Real Estate Balance Sheet'!G22</f>
        <v>0</v>
      </c>
      <c r="G12" s="106"/>
      <c r="H12" s="105">
        <f>'Real Estate Balance Sheet'!E22</f>
        <v>0</v>
      </c>
      <c r="I12" s="5"/>
      <c r="J12" s="5"/>
      <c r="K12" s="5"/>
      <c r="L12" s="5"/>
    </row>
    <row r="13" spans="1:12" s="1" customFormat="1" ht="23.25" customHeight="1" x14ac:dyDescent="0.4">
      <c r="A13" s="102">
        <v>8</v>
      </c>
      <c r="B13" s="104">
        <f>'Real Estate Balance Sheet'!B23</f>
        <v>0</v>
      </c>
      <c r="C13" s="107"/>
      <c r="D13" s="105">
        <f>'Real Estate Balance Sheet'!D23</f>
        <v>0</v>
      </c>
      <c r="E13" s="105">
        <f>'Real Estate Balance Sheet'!F23</f>
        <v>0</v>
      </c>
      <c r="F13" s="105">
        <f>'Real Estate Balance Sheet'!G23</f>
        <v>0</v>
      </c>
      <c r="G13" s="106"/>
      <c r="H13" s="105">
        <f>'Real Estate Balance Sheet'!E23</f>
        <v>0</v>
      </c>
      <c r="I13" s="5"/>
      <c r="J13" s="5"/>
      <c r="K13" s="5"/>
      <c r="L13" s="5"/>
    </row>
    <row r="14" spans="1:12" s="1" customFormat="1" ht="23.25" customHeight="1" x14ac:dyDescent="0.4">
      <c r="A14" s="102">
        <v>9</v>
      </c>
      <c r="B14" s="104">
        <f>'Real Estate Balance Sheet'!B24</f>
        <v>0</v>
      </c>
      <c r="C14" s="107"/>
      <c r="D14" s="105">
        <f>'Real Estate Balance Sheet'!D24</f>
        <v>0</v>
      </c>
      <c r="E14" s="105">
        <f>'Real Estate Balance Sheet'!F24</f>
        <v>0</v>
      </c>
      <c r="F14" s="105">
        <f>'Real Estate Balance Sheet'!G24</f>
        <v>0</v>
      </c>
      <c r="G14" s="106"/>
      <c r="H14" s="105">
        <f>'Real Estate Balance Sheet'!E24</f>
        <v>0</v>
      </c>
      <c r="I14" s="5"/>
      <c r="J14" s="5"/>
      <c r="K14" s="5"/>
      <c r="L14" s="5"/>
    </row>
    <row r="15" spans="1:12" s="1" customFormat="1" ht="16.2" x14ac:dyDescent="0.4">
      <c r="A15" s="93"/>
      <c r="B15" s="94"/>
      <c r="C15" s="93"/>
      <c r="D15" s="97"/>
      <c r="E15" s="97"/>
      <c r="F15" s="97"/>
      <c r="G15" s="98"/>
      <c r="H15" s="97"/>
      <c r="I15" s="5"/>
      <c r="J15" s="5"/>
      <c r="K15" s="5"/>
      <c r="L15" s="5"/>
    </row>
    <row r="16" spans="1:12" s="1" customFormat="1" ht="16.2" x14ac:dyDescent="0.4">
      <c r="A16" s="93"/>
      <c r="B16" s="95" t="s">
        <v>47</v>
      </c>
      <c r="C16" s="99"/>
      <c r="D16" s="97">
        <f>SUM(D6:D15)</f>
        <v>0</v>
      </c>
      <c r="E16" s="97">
        <f>SUM(E6:E15)</f>
        <v>0</v>
      </c>
      <c r="F16" s="97">
        <f>SUM(F6:F15)</f>
        <v>0</v>
      </c>
      <c r="G16" s="98">
        <f>SUM(G6:G15)</f>
        <v>0</v>
      </c>
      <c r="H16" s="97">
        <f>SUM(H6:H15)</f>
        <v>0</v>
      </c>
      <c r="I16" s="5"/>
      <c r="J16" s="5"/>
      <c r="K16" s="5"/>
      <c r="L16" s="5"/>
    </row>
    <row r="17" spans="1:12" ht="16.2" x14ac:dyDescent="0.4">
      <c r="A17" s="59"/>
      <c r="B17" s="5"/>
      <c r="C17" s="59"/>
      <c r="D17" s="5"/>
      <c r="E17" s="5"/>
      <c r="F17" s="5"/>
      <c r="G17" s="5"/>
      <c r="H17" s="5"/>
      <c r="I17" s="5"/>
      <c r="J17" s="5"/>
      <c r="K17" s="5"/>
      <c r="L17" s="5"/>
    </row>
  </sheetData>
  <sheetProtection algorithmName="SHA-512" hashValue="jmX+exEIAAtWt/u6JuyKJ1yosUpo3ig9W3GxhboVsN9ccpBDvTyVL3yghFzSbdPvf02pZPmqCLwA4iVLklAICA==" saltValue="XVPF4jVe/SDqE1rItDoYaA==" spinCount="100000" sheet="1" objects="1" scenarios="1" selectLockedCells="1"/>
  <mergeCells count="4">
    <mergeCell ref="A2:D2"/>
    <mergeCell ref="A3:G3"/>
    <mergeCell ref="A1:H1"/>
    <mergeCell ref="E2:H2"/>
  </mergeCells>
  <phoneticPr fontId="2" type="noConversion"/>
  <pageMargins left="0.75" right="0.75" top="1" bottom="1" header="0.5" footer="0.5"/>
  <pageSetup scale="92" orientation="landscape" horizontalDpi="300" verticalDpi="300"/>
  <headerFooter alignWithMargins="0"/>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30"/>
  <sheetViews>
    <sheetView showGridLines="0" showRowColHeaders="0" workbookViewId="0">
      <selection activeCell="B8" sqref="B8"/>
    </sheetView>
  </sheetViews>
  <sheetFormatPr defaultColWidth="8.6640625" defaultRowHeight="13.2" x14ac:dyDescent="0.25"/>
  <cols>
    <col min="1" max="1" width="2.6640625" style="117" customWidth="1"/>
    <col min="2" max="2" width="58" style="117" customWidth="1"/>
    <col min="3" max="3" width="23.88671875" style="117" customWidth="1"/>
    <col min="4" max="4" width="22.33203125" style="117" customWidth="1"/>
    <col min="5" max="5" width="13.109375" style="117" customWidth="1"/>
    <col min="6" max="6" width="18" style="117" customWidth="1"/>
    <col min="7" max="7" width="15.44140625" style="117" customWidth="1"/>
    <col min="8" max="8" width="13.44140625" style="117" customWidth="1"/>
    <col min="9" max="16384" width="8.6640625" style="117"/>
  </cols>
  <sheetData>
    <row r="1" spans="1:9" s="94" customFormat="1" ht="65.25" customHeight="1" x14ac:dyDescent="0.25">
      <c r="A1" s="145" t="s">
        <v>135</v>
      </c>
      <c r="B1" s="145"/>
      <c r="C1" s="145"/>
      <c r="D1" s="145"/>
      <c r="E1" s="145"/>
      <c r="F1" s="145"/>
      <c r="G1" s="145"/>
      <c r="H1" s="145"/>
    </row>
    <row r="2" spans="1:9" s="94" customFormat="1" ht="27" x14ac:dyDescent="0.25">
      <c r="A2" s="147" t="s">
        <v>136</v>
      </c>
      <c r="B2" s="147"/>
      <c r="C2" s="147"/>
      <c r="D2" s="147"/>
      <c r="E2" s="147"/>
      <c r="F2" s="148" t="s">
        <v>116</v>
      </c>
      <c r="G2" s="148"/>
      <c r="H2" s="148"/>
    </row>
    <row r="3" spans="1:9" s="94" customFormat="1" ht="16.2" x14ac:dyDescent="0.25">
      <c r="A3" s="150">
        <f ca="1">TODAY()</f>
        <v>44602</v>
      </c>
      <c r="B3" s="150"/>
      <c r="C3" s="150"/>
      <c r="D3" s="150"/>
      <c r="E3" s="150"/>
      <c r="F3" s="150"/>
    </row>
    <row r="4" spans="1:9" s="94" customFormat="1" ht="16.2" x14ac:dyDescent="0.25"/>
    <row r="5" spans="1:9" s="94" customFormat="1" ht="16.2" x14ac:dyDescent="0.25">
      <c r="B5" s="149" t="s">
        <v>51</v>
      </c>
      <c r="C5" s="149"/>
      <c r="D5" s="149"/>
      <c r="E5" s="149"/>
      <c r="F5" s="149" t="s">
        <v>54</v>
      </c>
      <c r="G5" s="149"/>
      <c r="H5" s="149"/>
      <c r="I5" s="149"/>
    </row>
    <row r="6" spans="1:9" s="94" customFormat="1" ht="16.2" x14ac:dyDescent="0.25"/>
    <row r="7" spans="1:9" s="111" customFormat="1" ht="32.4" x14ac:dyDescent="0.25">
      <c r="A7" s="114" t="s">
        <v>46</v>
      </c>
      <c r="B7" s="114" t="s">
        <v>70</v>
      </c>
      <c r="C7" s="118" t="s">
        <v>49</v>
      </c>
      <c r="D7" s="119" t="s">
        <v>64</v>
      </c>
      <c r="E7" s="120" t="s">
        <v>50</v>
      </c>
      <c r="F7" s="119" t="s">
        <v>65</v>
      </c>
      <c r="G7" s="119" t="s">
        <v>52</v>
      </c>
      <c r="H7" s="121" t="s">
        <v>53</v>
      </c>
    </row>
    <row r="8" spans="1:9" s="111" customFormat="1" ht="33" customHeight="1" x14ac:dyDescent="0.25">
      <c r="A8" s="111">
        <v>1</v>
      </c>
      <c r="B8" s="123" t="s">
        <v>137</v>
      </c>
      <c r="C8" s="103">
        <f>D8-F8</f>
        <v>500000</v>
      </c>
      <c r="D8" s="124">
        <v>500000</v>
      </c>
      <c r="E8" s="124">
        <v>0</v>
      </c>
      <c r="F8" s="124">
        <v>0</v>
      </c>
      <c r="G8" s="124">
        <v>0</v>
      </c>
      <c r="H8" s="125">
        <f t="shared" ref="H8:H13" si="0">F8/D8</f>
        <v>0</v>
      </c>
    </row>
    <row r="9" spans="1:9" s="111" customFormat="1" ht="33" customHeight="1" x14ac:dyDescent="0.25">
      <c r="A9" s="111">
        <v>2</v>
      </c>
      <c r="B9" s="123" t="s">
        <v>138</v>
      </c>
      <c r="C9" s="103">
        <f>D9-F9</f>
        <v>225000</v>
      </c>
      <c r="D9" s="124">
        <v>250000</v>
      </c>
      <c r="E9" s="124">
        <v>0</v>
      </c>
      <c r="F9" s="124">
        <v>25000</v>
      </c>
      <c r="G9" s="124">
        <v>0</v>
      </c>
      <c r="H9" s="125">
        <f t="shared" si="0"/>
        <v>0.1</v>
      </c>
    </row>
    <row r="10" spans="1:9" s="111" customFormat="1" ht="33" customHeight="1" x14ac:dyDescent="0.25">
      <c r="A10" s="111">
        <v>3</v>
      </c>
      <c r="B10" s="123"/>
      <c r="C10" s="103">
        <f>D10-F10</f>
        <v>0</v>
      </c>
      <c r="D10" s="124"/>
      <c r="E10" s="124"/>
      <c r="F10" s="124"/>
      <c r="G10" s="124"/>
      <c r="H10" s="125" t="e">
        <f t="shared" si="0"/>
        <v>#DIV/0!</v>
      </c>
    </row>
    <row r="11" spans="1:9" s="111" customFormat="1" ht="33" customHeight="1" x14ac:dyDescent="0.25">
      <c r="A11" s="111">
        <v>4</v>
      </c>
      <c r="B11" s="123"/>
      <c r="C11" s="103">
        <f>D11-F11</f>
        <v>0</v>
      </c>
      <c r="D11" s="124"/>
      <c r="E11" s="124"/>
      <c r="F11" s="124"/>
      <c r="G11" s="124"/>
      <c r="H11" s="125" t="e">
        <f t="shared" si="0"/>
        <v>#DIV/0!</v>
      </c>
    </row>
    <row r="12" spans="1:9" s="111" customFormat="1" ht="33" customHeight="1" x14ac:dyDescent="0.25">
      <c r="A12" s="111">
        <v>5</v>
      </c>
      <c r="B12" s="123"/>
      <c r="C12" s="103">
        <f>D12-F12</f>
        <v>0</v>
      </c>
      <c r="D12" s="124"/>
      <c r="E12" s="124"/>
      <c r="F12" s="124"/>
      <c r="G12" s="124"/>
      <c r="H12" s="125" t="e">
        <f t="shared" si="0"/>
        <v>#DIV/0!</v>
      </c>
    </row>
    <row r="13" spans="1:9" s="111" customFormat="1" ht="16.2" x14ac:dyDescent="0.25">
      <c r="B13" s="112" t="s">
        <v>68</v>
      </c>
      <c r="C13" s="103">
        <f>SUM(C8:C12)</f>
        <v>725000</v>
      </c>
      <c r="D13" s="103">
        <f>SUM(D8:D12)</f>
        <v>750000</v>
      </c>
      <c r="E13" s="103">
        <f>SUM(E8:E12)</f>
        <v>0</v>
      </c>
      <c r="F13" s="103">
        <f>SUM(F8:F12)</f>
        <v>25000</v>
      </c>
      <c r="G13" s="103">
        <f>SUM(G8:G12)</f>
        <v>0</v>
      </c>
      <c r="H13" s="131">
        <f t="shared" si="0"/>
        <v>3.3333333333333333E-2</v>
      </c>
    </row>
    <row r="14" spans="1:9" s="94" customFormat="1" ht="16.2" x14ac:dyDescent="0.25">
      <c r="A14" s="111"/>
      <c r="B14" s="122"/>
      <c r="C14" s="103"/>
      <c r="D14" s="110"/>
      <c r="E14" s="110"/>
      <c r="F14" s="110"/>
      <c r="G14" s="110"/>
      <c r="H14" s="113"/>
    </row>
    <row r="15" spans="1:9" s="94" customFormat="1" ht="16.2" x14ac:dyDescent="0.25">
      <c r="A15" s="111"/>
      <c r="B15" s="114" t="s">
        <v>69</v>
      </c>
      <c r="C15" s="103"/>
      <c r="D15" s="110"/>
      <c r="E15" s="110"/>
      <c r="F15" s="110"/>
      <c r="G15" s="110"/>
      <c r="H15" s="113"/>
    </row>
    <row r="16" spans="1:9" s="111" customFormat="1" ht="33" customHeight="1" x14ac:dyDescent="0.25">
      <c r="A16" s="111">
        <v>1</v>
      </c>
      <c r="B16" s="123" t="s">
        <v>110</v>
      </c>
      <c r="C16" s="103">
        <f t="shared" ref="C16:C24" si="1">D16-F16</f>
        <v>0</v>
      </c>
      <c r="D16" s="124"/>
      <c r="E16" s="124"/>
      <c r="F16" s="124"/>
      <c r="G16" s="124"/>
      <c r="H16" s="125" t="e">
        <f t="shared" ref="H16:H25" si="2">F16/D16</f>
        <v>#DIV/0!</v>
      </c>
    </row>
    <row r="17" spans="1:8" s="111" customFormat="1" ht="33" customHeight="1" x14ac:dyDescent="0.25">
      <c r="A17" s="111">
        <v>2</v>
      </c>
      <c r="B17" s="123"/>
      <c r="C17" s="103">
        <f t="shared" si="1"/>
        <v>0</v>
      </c>
      <c r="D17" s="124"/>
      <c r="E17" s="124"/>
      <c r="F17" s="124"/>
      <c r="G17" s="124"/>
      <c r="H17" s="125" t="e">
        <f t="shared" si="2"/>
        <v>#DIV/0!</v>
      </c>
    </row>
    <row r="18" spans="1:8" s="111" customFormat="1" ht="33" customHeight="1" x14ac:dyDescent="0.25">
      <c r="A18" s="111">
        <v>3</v>
      </c>
      <c r="B18" s="123"/>
      <c r="C18" s="103">
        <f t="shared" si="1"/>
        <v>0</v>
      </c>
      <c r="D18" s="124"/>
      <c r="E18" s="124"/>
      <c r="F18" s="124"/>
      <c r="G18" s="124"/>
      <c r="H18" s="125" t="e">
        <f t="shared" si="2"/>
        <v>#DIV/0!</v>
      </c>
    </row>
    <row r="19" spans="1:8" s="111" customFormat="1" ht="33" customHeight="1" x14ac:dyDescent="0.25">
      <c r="A19" s="111">
        <v>4</v>
      </c>
      <c r="B19" s="123"/>
      <c r="C19" s="103">
        <f t="shared" si="1"/>
        <v>0</v>
      </c>
      <c r="D19" s="124"/>
      <c r="E19" s="124"/>
      <c r="F19" s="124"/>
      <c r="G19" s="124"/>
      <c r="H19" s="125" t="e">
        <f t="shared" si="2"/>
        <v>#DIV/0!</v>
      </c>
    </row>
    <row r="20" spans="1:8" s="111" customFormat="1" ht="33" customHeight="1" x14ac:dyDescent="0.25">
      <c r="A20" s="111">
        <v>5</v>
      </c>
      <c r="B20" s="123"/>
      <c r="C20" s="103">
        <f t="shared" si="1"/>
        <v>0</v>
      </c>
      <c r="D20" s="124"/>
      <c r="E20" s="124"/>
      <c r="F20" s="124"/>
      <c r="G20" s="124"/>
      <c r="H20" s="125" t="e">
        <f t="shared" si="2"/>
        <v>#DIV/0!</v>
      </c>
    </row>
    <row r="21" spans="1:8" s="111" customFormat="1" ht="33" customHeight="1" x14ac:dyDescent="0.25">
      <c r="A21" s="111">
        <v>6</v>
      </c>
      <c r="B21" s="123"/>
      <c r="C21" s="103">
        <f t="shared" si="1"/>
        <v>0</v>
      </c>
      <c r="D21" s="124"/>
      <c r="E21" s="124"/>
      <c r="F21" s="124"/>
      <c r="G21" s="124"/>
      <c r="H21" s="125" t="e">
        <f t="shared" si="2"/>
        <v>#DIV/0!</v>
      </c>
    </row>
    <row r="22" spans="1:8" s="111" customFormat="1" ht="33" customHeight="1" x14ac:dyDescent="0.25">
      <c r="A22" s="111">
        <v>7</v>
      </c>
      <c r="B22" s="123"/>
      <c r="C22" s="103">
        <f t="shared" si="1"/>
        <v>0</v>
      </c>
      <c r="D22" s="124"/>
      <c r="E22" s="124"/>
      <c r="F22" s="124"/>
      <c r="G22" s="124"/>
      <c r="H22" s="125" t="e">
        <f t="shared" si="2"/>
        <v>#DIV/0!</v>
      </c>
    </row>
    <row r="23" spans="1:8" s="111" customFormat="1" ht="33" customHeight="1" x14ac:dyDescent="0.25">
      <c r="A23" s="111">
        <v>8</v>
      </c>
      <c r="B23" s="123"/>
      <c r="C23" s="103">
        <f t="shared" si="1"/>
        <v>0</v>
      </c>
      <c r="D23" s="124"/>
      <c r="E23" s="124"/>
      <c r="F23" s="124"/>
      <c r="G23" s="124"/>
      <c r="H23" s="125" t="e">
        <f t="shared" si="2"/>
        <v>#DIV/0!</v>
      </c>
    </row>
    <row r="24" spans="1:8" s="111" customFormat="1" ht="33" customHeight="1" x14ac:dyDescent="0.25">
      <c r="A24" s="111">
        <v>9</v>
      </c>
      <c r="B24" s="123"/>
      <c r="C24" s="103">
        <f t="shared" si="1"/>
        <v>0</v>
      </c>
      <c r="D24" s="124"/>
      <c r="E24" s="124"/>
      <c r="F24" s="124"/>
      <c r="G24" s="124"/>
      <c r="H24" s="125" t="e">
        <f t="shared" si="2"/>
        <v>#DIV/0!</v>
      </c>
    </row>
    <row r="25" spans="1:8" s="94" customFormat="1" ht="16.2" x14ac:dyDescent="0.25">
      <c r="B25" s="115" t="s">
        <v>67</v>
      </c>
      <c r="C25" s="97">
        <f>SUM(C16:C24)</f>
        <v>0</v>
      </c>
      <c r="D25" s="97">
        <f>SUM(D16:D24)</f>
        <v>0</v>
      </c>
      <c r="E25" s="97">
        <f>SUM(E16:E24)</f>
        <v>0</v>
      </c>
      <c r="F25" s="97">
        <f>SUM(F16:F24)</f>
        <v>0</v>
      </c>
      <c r="G25" s="97">
        <f>SUM(G16:G24)</f>
        <v>0</v>
      </c>
      <c r="H25" s="132" t="e">
        <f t="shared" si="2"/>
        <v>#DIV/0!</v>
      </c>
    </row>
    <row r="26" spans="1:8" s="94" customFormat="1" ht="16.2" x14ac:dyDescent="0.25">
      <c r="C26" s="97"/>
      <c r="D26" s="97"/>
      <c r="E26" s="97"/>
      <c r="F26" s="97"/>
      <c r="G26" s="97"/>
      <c r="H26" s="116"/>
    </row>
    <row r="27" spans="1:8" s="94" customFormat="1" ht="16.2" x14ac:dyDescent="0.25">
      <c r="B27" s="115" t="s">
        <v>66</v>
      </c>
      <c r="C27" s="133">
        <f>C25+C13</f>
        <v>725000</v>
      </c>
      <c r="D27" s="133">
        <f>D25+D13</f>
        <v>750000</v>
      </c>
      <c r="E27" s="133">
        <f>E25+E13</f>
        <v>0</v>
      </c>
      <c r="F27" s="133">
        <f>F25+F13</f>
        <v>25000</v>
      </c>
      <c r="G27" s="133">
        <f>G25+G13</f>
        <v>0</v>
      </c>
      <c r="H27" s="132">
        <f>F27/D27</f>
        <v>3.3333333333333333E-2</v>
      </c>
    </row>
    <row r="28" spans="1:8" s="94" customFormat="1" ht="16.2" x14ac:dyDescent="0.25"/>
    <row r="29" spans="1:8" s="94" customFormat="1" ht="16.2" x14ac:dyDescent="0.25"/>
    <row r="30" spans="1:8" s="94" customFormat="1" ht="16.2" x14ac:dyDescent="0.25"/>
  </sheetData>
  <sheetProtection algorithmName="SHA-512" hashValue="wbyuZgO7waaIPXtHwt63BgmQA2i9OhFeZ3rj/hh768E43bLSbUbaJAGoe6Lq2rlgMIeaIeUdlFMGjX6t8WXHtw==" saltValue="RhmsU9u5BHhszIGh12/Upw==" spinCount="100000" sheet="1" objects="1" scenarios="1" selectLockedCells="1"/>
  <mergeCells count="6">
    <mergeCell ref="F5:I5"/>
    <mergeCell ref="B5:E5"/>
    <mergeCell ref="A3:F3"/>
    <mergeCell ref="A1:H1"/>
    <mergeCell ref="F2:H2"/>
    <mergeCell ref="A2:E2"/>
  </mergeCells>
  <phoneticPr fontId="2" type="noConversion"/>
  <pageMargins left="0.75" right="0.75" top="1" bottom="1" header="0.5" footer="0.5"/>
  <pageSetup scale="74" orientation="landscape" horizontalDpi="300" verticalDpi="300"/>
  <headerFooter alignWithMargins="0"/>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How to use this template</vt:lpstr>
      <vt:lpstr>Cashflow</vt:lpstr>
      <vt:lpstr>Balance Statement</vt:lpstr>
      <vt:lpstr>RRSP &amp; Credit</vt:lpstr>
      <vt:lpstr>Overview Rentals</vt:lpstr>
      <vt:lpstr>Real Estate Balance Sheet</vt:lpstr>
      <vt:lpstr>'Balance Statement'!Print_Area</vt:lpstr>
      <vt:lpstr>'Overview Rentals'!Print_Area</vt:lpstr>
      <vt:lpstr>'Real Estate Balance Sheet'!Print_Area</vt:lpstr>
      <vt:lpstr>'RRSP &amp; Credit'!Print_Area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Preferred Customer</dc:creator>
  <cp:lastModifiedBy>Monika</cp:lastModifiedBy>
  <cp:lastPrinted>2011-10-09T23:32:34Z</cp:lastPrinted>
  <dcterms:created xsi:type="dcterms:W3CDTF">2007-01-24T04:03:46Z</dcterms:created>
  <dcterms:modified xsi:type="dcterms:W3CDTF">2022-02-10T19:10:38Z</dcterms:modified>
</cp:coreProperties>
</file>