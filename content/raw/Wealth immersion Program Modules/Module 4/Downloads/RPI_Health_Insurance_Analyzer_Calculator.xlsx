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onika\Documents\"/>
    </mc:Choice>
  </mc:AlternateContent>
  <xr:revisionPtr revIDLastSave="0" documentId="8_{905D015F-D81A-4BBD-8D96-2037396EBAC4}" xr6:coauthVersionLast="47" xr6:coauthVersionMax="47" xr10:uidLastSave="{00000000-0000-0000-0000-000000000000}"/>
  <bookViews>
    <workbookView xWindow="-108" yWindow="-108" windowWidth="23256" windowHeight="12456" xr2:uid="{00000000-000D-0000-FFFF-FFFF00000000}"/>
  </bookViews>
  <sheets>
    <sheet name="Start Here" sheetId="1" r:id="rId1"/>
    <sheet name="US" sheetId="2" r:id="rId2"/>
    <sheet name="CAN" sheetId="3" r:id="rId3"/>
    <sheet name="AUS" sheetId="4" r:id="rId4"/>
    <sheet name="UK" sheetId="5" r:id="rId5"/>
    <sheet name="Dashboard" sheetId="6" r:id="rId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8" i="6" l="1"/>
  <c r="H38" i="6"/>
  <c r="G38" i="6"/>
  <c r="F38" i="6"/>
  <c r="E38" i="6"/>
  <c r="D38" i="6"/>
  <c r="C38" i="6"/>
  <c r="I37" i="6"/>
  <c r="H37" i="6"/>
  <c r="G37" i="6"/>
  <c r="F37" i="6"/>
  <c r="E37" i="6"/>
  <c r="D37" i="6"/>
  <c r="C37" i="6"/>
  <c r="I36" i="6"/>
  <c r="H36" i="6"/>
  <c r="G36" i="6"/>
  <c r="F36" i="6"/>
  <c r="E36" i="6"/>
  <c r="D36" i="6"/>
  <c r="C36" i="6"/>
  <c r="I35" i="6"/>
  <c r="H35" i="6"/>
  <c r="G35" i="6"/>
  <c r="F35" i="6"/>
  <c r="E35" i="6"/>
  <c r="D35" i="6"/>
  <c r="C35" i="6"/>
  <c r="C22" i="6"/>
  <c r="C20" i="6"/>
  <c r="C16" i="6"/>
  <c r="C15" i="6"/>
  <c r="C11" i="6"/>
  <c r="C10" i="6"/>
  <c r="C9" i="6"/>
  <c r="C8" i="6"/>
  <c r="C4" i="6"/>
  <c r="E35" i="5"/>
  <c r="C35" i="5"/>
  <c r="E25" i="5"/>
  <c r="E24" i="5"/>
  <c r="C24" i="5"/>
  <c r="C35" i="4"/>
  <c r="E35" i="4" s="1"/>
  <c r="E25" i="4"/>
  <c r="E24" i="4"/>
  <c r="C24" i="4"/>
  <c r="C35" i="3"/>
  <c r="E35" i="3" s="1"/>
  <c r="E25" i="3"/>
  <c r="E24" i="3"/>
  <c r="C24" i="3"/>
  <c r="C35" i="2"/>
  <c r="E35" i="2" s="1"/>
  <c r="E25" i="2"/>
  <c r="E24" i="2"/>
  <c r="C24" i="2"/>
</calcChain>
</file>

<file path=xl/sharedStrings.xml><?xml version="1.0" encoding="utf-8"?>
<sst xmlns="http://schemas.openxmlformats.org/spreadsheetml/2006/main" count="194" uniqueCount="83">
  <si>
    <t>RPI Education — Health Insurance Analyzer (Excel)</t>
  </si>
  <si>
    <t>Interactive calculator for US, Canada, Australia, and the UK</t>
  </si>
  <si>
    <t>Choose your country:</t>
  </si>
  <si>
    <t>(this drives the Dashboard summary)</t>
  </si>
  <si>
    <t>US</t>
  </si>
  <si>
    <t>How to use:</t>
  </si>
  <si>
    <t>1) Select your country in D4.
2) Open the matching country tab (US / CAN / AUS / UK).
3) Enter blue cells only (inputs).
4) Review calculated outputs (black text) and the Dashboard.
5) Use the Notes/Questions area to prepare for a licensed professional.</t>
  </si>
  <si>
    <t>Color key:</t>
  </si>
  <si>
    <t>Blue text + light fill = inputs</t>
  </si>
  <si>
    <t>Black text = calculated</t>
  </si>
  <si>
    <t>Yellow header = section</t>
  </si>
  <si>
    <t>Version:</t>
  </si>
  <si>
    <t>2026-03-03</t>
  </si>
  <si>
    <t>US — Health Insurance Inputs &amp; Outputs</t>
  </si>
  <si>
    <t>Enter blue cells. Outputs update automatically.</t>
  </si>
  <si>
    <t>A) Plan Details</t>
  </si>
  <si>
    <t>Insurer / Plan name</t>
  </si>
  <si>
    <t>Coverage type</t>
  </si>
  <si>
    <t>Plan/Provider</t>
  </si>
  <si>
    <t/>
  </si>
  <si>
    <t>Plan Type</t>
  </si>
  <si>
    <t>Monthly Premium</t>
  </si>
  <si>
    <t>Annual Deductible / Excess</t>
  </si>
  <si>
    <t>Out-of-Pocket Max / Cap</t>
  </si>
  <si>
    <t>Primary Care Co-pay</t>
  </si>
  <si>
    <t>Specialist Co-pay</t>
  </si>
  <si>
    <t>Prescription Coverage? (Y/N)</t>
  </si>
  <si>
    <t>Y</t>
  </si>
  <si>
    <t>B) Quick Gap Check (1 = Yes / 0 = No)</t>
  </si>
  <si>
    <t>Dental coverage gap</t>
  </si>
  <si>
    <t>Vision coverage gap</t>
  </si>
  <si>
    <t>Prescription gap</t>
  </si>
  <si>
    <t>Mental health limitations</t>
  </si>
  <si>
    <t>Network/availability issue</t>
  </si>
  <si>
    <t>Travel medical gap</t>
  </si>
  <si>
    <t>Income protection gap (disability)</t>
  </si>
  <si>
    <t>Other gap</t>
  </si>
  <si>
    <t>C) Cost &amp; Risk Exposure</t>
  </si>
  <si>
    <t>Annual Premium</t>
  </si>
  <si>
    <t>Worst-Case Annual Cost</t>
  </si>
  <si>
    <t>Expected Annual Out-of-Pocket (estimate)</t>
  </si>
  <si>
    <t>Expected Total Annual Cost</t>
  </si>
  <si>
    <t>D) Score (1–5)</t>
  </si>
  <si>
    <t>Cost efficiency</t>
  </si>
  <si>
    <t>Coverage completeness</t>
  </si>
  <si>
    <t>Access/availability</t>
  </si>
  <si>
    <t>Income protection</t>
  </si>
  <si>
    <t>Emergency preparedness</t>
  </si>
  <si>
    <t>Total score (out of 25)</t>
  </si>
  <si>
    <t>Rating</t>
  </si>
  <si>
    <t xml:space="preserve">Notes / Questions for your licensed professional:
• 
• 
• </t>
  </si>
  <si>
    <t>CAN — Health Insurance Inputs &amp; Outputs</t>
  </si>
  <si>
    <t>Extended benefits type</t>
  </si>
  <si>
    <t>Monthly Premium (private/benefits)</t>
  </si>
  <si>
    <t>Annual Deductible (if any)</t>
  </si>
  <si>
    <t>AUS — Health Insurance Inputs &amp; Outputs</t>
  </si>
  <si>
    <t>Cover type (Hospital/Extras/Combined)</t>
  </si>
  <si>
    <t>Out-of-Pocket Max / Cap (if applicable)</t>
  </si>
  <si>
    <t>UK — Health Insurance Inputs &amp; Outputs</t>
  </si>
  <si>
    <t>NHS only / Private plan type</t>
  </si>
  <si>
    <t>Dashboard — Summary</t>
  </si>
  <si>
    <t>Select country in Start Here!D4 to update this page.</t>
  </si>
  <si>
    <t>Selected country:</t>
  </si>
  <si>
    <t>Key Cost Metrics</t>
  </si>
  <si>
    <t>Monthly premium</t>
  </si>
  <si>
    <t>Annual premium</t>
  </si>
  <si>
    <t>Worst-case annual cost</t>
  </si>
  <si>
    <t>Expected total annual cost</t>
  </si>
  <si>
    <t>Coverage Score</t>
  </si>
  <si>
    <t>Total score (0–25)</t>
  </si>
  <si>
    <t>Gap Snapshot</t>
  </si>
  <si>
    <t>Number of gaps flagged (1s)</t>
  </si>
  <si>
    <t>Suggested next step:</t>
  </si>
  <si>
    <t>Disclaimer: This spreadsheet is educational and informational only and is not insurance, legal, tax, or financial advice. Insurance rules and plan terms vary by country and jurisdiction. Verify details with your insurer/administrator and consult a licensed professional before decisions.</t>
  </si>
  <si>
    <t>Lookup Table (do not edit)</t>
  </si>
  <si>
    <t>Country</t>
  </si>
  <si>
    <t>Worst-case</t>
  </si>
  <si>
    <t>Expected total</t>
  </si>
  <si>
    <t>Score</t>
  </si>
  <si>
    <t>Gaps</t>
  </si>
  <si>
    <t>CAN</t>
  </si>
  <si>
    <t>AUS</t>
  </si>
  <si>
    <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</si>
</sst>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
  </numFmts>
  <fonts count="10" x14ac:knownFonts="1">
    <font>
      <sz val="11"/>
      <color theme="1"/>
      <name val="Calibri"/>
      <family val="2"/>
      <scheme val="minor"/>
    </font>
    <font>
      <b/>
      <sz val="11"/>
      <color rgb="FFFFFFFF"/>
      <name val="Calibri"/>
    </font>
    <font>
      <sz val="11"/>
      <color rgb="FFFFFFFF"/>
      <name val="Calibri"/>
    </font>
    <font>
      <b/>
      <sz val="13"/>
      <name val="Calibri"/>
    </font>
    <font>
      <sz val="9"/>
      <color rgb="FF666666"/>
      <name val="Calibri"/>
    </font>
    <font>
      <sz val="11"/>
      <color rgb="FF0000FF"/>
      <name val="Calibri"/>
    </font>
    <font>
      <sz val="11"/>
      <name val="Calibri"/>
    </font>
    <font>
      <b/>
      <sz val="11"/>
      <name val="Calibri"/>
    </font>
    <font>
      <b/>
      <sz val="11"/>
      <color rgb="FF0000FF"/>
      <name val="Calibri"/>
    </font>
    <font>
      <sz val="11"/>
      <color rgb="FF000000"/>
      <name val="Calibri"/>
    </font>
  </fonts>
  <fills count="8">
    <fill>
      <patternFill patternType="none"/>
    </fill>
    <fill>
      <patternFill patternType="gray125"/>
    </fill>
    <fill>
      <patternFill patternType="solid">
        <fgColor rgb="FF111111"/>
      </patternFill>
    </fill>
    <fill>
      <patternFill patternType="solid">
        <fgColor rgb="FFFFF7CC"/>
      </patternFill>
    </fill>
    <fill>
      <patternFill patternType="solid">
        <fgColor rgb="FFF9F9F9"/>
      </patternFill>
    </fill>
    <fill>
      <patternFill patternType="solid">
        <fgColor rgb="FFF0D400"/>
      </patternFill>
    </fill>
    <fill>
      <patternFill patternType="solid">
        <fgColor rgb="FFFFFFFF"/>
      </patternFill>
    </fill>
    <fill>
      <patternFill patternType="solid">
        <fgColor rgb="FFF2F2F2"/>
      </patternFill>
    </fill>
  </fills>
  <borders count="9">
    <border>
      <left/>
      <right/>
      <top/>
      <bottom/>
      <diagonal/>
    </border>
    <border>
      <left style="thin">
        <color rgb="FFD0D0D0"/>
      </left>
      <right style="thin">
        <color rgb="FFD0D0D0"/>
      </right>
      <top style="thin">
        <color rgb="FFD0D0D0"/>
      </top>
      <bottom style="thin">
        <color rgb="FFD0D0D0"/>
      </bottom>
      <diagonal/>
    </border>
    <border>
      <left/>
      <right/>
      <top style="thin">
        <color rgb="FFD0D0D0"/>
      </top>
      <bottom/>
      <diagonal/>
    </border>
    <border>
      <left style="thin">
        <color rgb="FFD0D0D0"/>
      </left>
      <right/>
      <top/>
      <bottom/>
      <diagonal/>
    </border>
    <border>
      <left/>
      <right style="thin">
        <color rgb="FFD0D0D0"/>
      </right>
      <top style="thin">
        <color rgb="FFD0D0D0"/>
      </top>
      <bottom/>
      <diagonal/>
    </border>
    <border>
      <left/>
      <right style="thin">
        <color rgb="FFD0D0D0"/>
      </right>
      <top/>
      <bottom/>
      <diagonal/>
    </border>
    <border>
      <left style="thin">
        <color rgb="FFD0D0D0"/>
      </left>
      <right/>
      <top/>
      <bottom style="thin">
        <color rgb="FFD0D0D0"/>
      </bottom>
      <diagonal/>
    </border>
    <border>
      <left/>
      <right/>
      <top/>
      <bottom style="thin">
        <color rgb="FFD0D0D0"/>
      </bottom>
      <diagonal/>
    </border>
    <border>
      <left/>
      <right style="thin">
        <color rgb="FFD0D0D0"/>
      </right>
      <top/>
      <bottom style="thin">
        <color rgb="FFD0D0D0"/>
      </bottom>
      <diagonal/>
    </border>
  </borders>
  <cellStyleXfs count="1">
    <xf numFmtId="0" fontId="0" fillId="0" borderId="0"/>
  </cellStyleXfs>
  <cellXfs count="38">
    <xf numFmtId="0" fontId="0" fillId="0" borderId="0" xfId="0"/>
    <xf numFmtId="0" fontId="3" fillId="0" borderId="0" xfId="0" applyFont="1" applyAlignment="1">
      <alignment horizontal="left" vertical="center"/>
    </xf>
    <xf numFmtId="0" fontId="4" fillId="0" borderId="0" xfId="0" applyFont="1"/>
    <xf numFmtId="0" fontId="5" fillId="3" borderId="1" xfId="0" applyFont="1" applyFill="1" applyBorder="1" applyAlignment="1">
      <alignment horizontal="left" vertical="center"/>
    </xf>
    <xf numFmtId="0" fontId="3" fillId="0" borderId="0" xfId="0" applyFont="1"/>
    <xf numFmtId="0" fontId="5" fillId="0" borderId="0" xfId="0" applyFont="1"/>
    <xf numFmtId="0" fontId="6" fillId="0" borderId="0" xfId="0" applyFont="1"/>
    <xf numFmtId="0" fontId="7" fillId="0" borderId="0" xfId="0" applyFont="1"/>
    <xf numFmtId="0" fontId="0" fillId="0" borderId="1" xfId="0" applyBorder="1"/>
    <xf numFmtId="0" fontId="7" fillId="0" borderId="1" xfId="0" applyFont="1" applyBorder="1" applyAlignment="1">
      <alignment horizontal="left" vertical="center"/>
    </xf>
    <xf numFmtId="164" fontId="5" fillId="3" borderId="1" xfId="0" applyNumberFormat="1" applyFont="1" applyFill="1" applyBorder="1" applyAlignment="1">
      <alignment horizontal="left" vertical="center"/>
    </xf>
    <xf numFmtId="0" fontId="7" fillId="0" borderId="0" xfId="0" applyFont="1" applyAlignment="1">
      <alignment horizontal="left" vertical="center"/>
    </xf>
    <xf numFmtId="1" fontId="5" fillId="3" borderId="1" xfId="0" applyNumberFormat="1" applyFont="1" applyFill="1" applyBorder="1" applyAlignment="1">
      <alignment horizontal="center" vertical="center"/>
    </xf>
    <xf numFmtId="164" fontId="7" fillId="6" borderId="1" xfId="0" applyNumberFormat="1" applyFont="1" applyFill="1" applyBorder="1" applyAlignment="1">
      <alignment horizontal="left" vertical="center"/>
    </xf>
    <xf numFmtId="1" fontId="7" fillId="6" borderId="1" xfId="0" applyNumberFormat="1" applyFont="1" applyFill="1" applyBorder="1" applyAlignment="1">
      <alignment horizontal="left" vertical="center"/>
    </xf>
    <xf numFmtId="0" fontId="7" fillId="6" borderId="1" xfId="0" applyFont="1" applyFill="1" applyBorder="1" applyAlignment="1">
      <alignment horizontal="left" vertical="center"/>
    </xf>
    <xf numFmtId="165" fontId="5" fillId="3" borderId="1" xfId="0" applyNumberFormat="1" applyFont="1" applyFill="1" applyBorder="1" applyAlignment="1">
      <alignment horizontal="left" vertical="center"/>
    </xf>
    <xf numFmtId="165" fontId="7" fillId="6" borderId="1" xfId="0" applyNumberFormat="1" applyFont="1" applyFill="1" applyBorder="1" applyAlignment="1">
      <alignment horizontal="left" vertical="center"/>
    </xf>
    <xf numFmtId="0" fontId="8" fillId="3" borderId="1" xfId="0" applyFont="1" applyFill="1" applyBorder="1"/>
    <xf numFmtId="164" fontId="9" fillId="6" borderId="1" xfId="0" applyNumberFormat="1" applyFont="1" applyFill="1" applyBorder="1" applyAlignment="1">
      <alignment horizontal="left" vertical="center"/>
    </xf>
    <xf numFmtId="0" fontId="9" fillId="0" borderId="0" xfId="0" applyFont="1" applyAlignment="1">
      <alignment vertical="top" wrapText="1"/>
    </xf>
    <xf numFmtId="0" fontId="7" fillId="7" borderId="1" xfId="0" applyFont="1" applyFill="1" applyBorder="1" applyAlignment="1">
      <alignment horizontal="center" vertical="center"/>
    </xf>
    <xf numFmtId="0" fontId="7" fillId="0" borderId="1" xfId="0" applyFont="1" applyBorder="1" applyAlignment="1">
      <alignment horizontal="center" vertical="center"/>
    </xf>
    <xf numFmtId="0" fontId="0" fillId="0" borderId="1" xfId="0" applyBorder="1" applyAlignment="1">
      <alignment horizontal="right" vertical="center"/>
    </xf>
    <xf numFmtId="0" fontId="0" fillId="0" borderId="1" xfId="0" applyBorder="1" applyAlignment="1">
      <alignment horizontal="center" vertical="center"/>
    </xf>
    <xf numFmtId="0" fontId="4" fillId="4" borderId="1" xfId="0" applyFont="1" applyFill="1" applyBorder="1" applyAlignment="1">
      <alignment vertical="top" wrapText="1"/>
    </xf>
    <xf numFmtId="0" fontId="0" fillId="0" borderId="2" xfId="0" applyBorder="1"/>
    <xf numFmtId="0" fontId="0" fillId="0" borderId="4" xfId="0" applyBorder="1"/>
    <xf numFmtId="0" fontId="0" fillId="0" borderId="3" xfId="0" applyBorder="1"/>
    <xf numFmtId="0" fontId="0" fillId="0" borderId="0" xfId="0"/>
    <xf numFmtId="0" fontId="0" fillId="0" borderId="5" xfId="0" applyBorder="1"/>
    <xf numFmtId="0" fontId="0" fillId="0" borderId="6" xfId="0" applyBorder="1"/>
    <xf numFmtId="0" fontId="0" fillId="0" borderId="7" xfId="0" applyBorder="1"/>
    <xf numFmtId="0" fontId="0" fillId="0" borderId="8" xfId="0" applyBorder="1"/>
    <xf numFmtId="0" fontId="2" fillId="2" borderId="0" xfId="0" applyFont="1" applyFill="1" applyAlignment="1">
      <alignment horizontal="left" vertical="center"/>
    </xf>
    <xf numFmtId="0" fontId="1" fillId="2" borderId="0" xfId="0" applyFont="1" applyFill="1" applyAlignment="1">
      <alignment horizontal="left" vertical="center"/>
    </xf>
    <xf numFmtId="0" fontId="1" fillId="5" borderId="0" xfId="0" applyFont="1" applyFill="1" applyAlignment="1">
      <alignment horizontal="left" vertical="center"/>
    </xf>
    <xf numFmtId="0" fontId="1" fillId="5" borderId="8" xfId="0" applyFont="1" applyFill="1" applyBorder="1" applyAlignment="1">
      <alignment horizontal="left" vertical="center"/>
    </xf>
  </cellXfs>
  <cellStyles count="1">
    <cellStyle name="Normal" xfId="0" builtinId="0"/>
  </cellStyles>
  <dxfs count="12">
    <dxf>
      <fill>
        <patternFill>
          <bgColor rgb="FFD1E7DD"/>
        </patternFill>
      </fill>
    </dxf>
    <dxf>
      <fill>
        <patternFill>
          <bgColor rgb="FFFFF3CD"/>
        </patternFill>
      </fill>
    </dxf>
    <dxf>
      <fill>
        <patternFill>
          <bgColor rgb="FFF8D7DA"/>
        </patternFill>
      </fill>
    </dxf>
    <dxf>
      <fill>
        <patternFill>
          <bgColor rgb="FFD1E7DD"/>
        </patternFill>
      </fill>
    </dxf>
    <dxf>
      <fill>
        <patternFill>
          <bgColor rgb="FFFFF3CD"/>
        </patternFill>
      </fill>
    </dxf>
    <dxf>
      <fill>
        <patternFill>
          <bgColor rgb="FFF8D7DA"/>
        </patternFill>
      </fill>
    </dxf>
    <dxf>
      <fill>
        <patternFill>
          <bgColor rgb="FFD1E7DD"/>
        </patternFill>
      </fill>
    </dxf>
    <dxf>
      <fill>
        <patternFill>
          <bgColor rgb="FFFFF3CD"/>
        </patternFill>
      </fill>
    </dxf>
    <dxf>
      <fill>
        <patternFill>
          <bgColor rgb="FFF8D7DA"/>
        </patternFill>
      </fill>
    </dxf>
    <dxf>
      <fill>
        <patternFill>
          <bgColor rgb="FFD1E7DD"/>
        </patternFill>
      </fill>
    </dxf>
    <dxf>
      <fill>
        <patternFill>
          <bgColor rgb="FFFFF3CD"/>
        </patternFill>
      </fill>
    </dxf>
    <dxf>
      <fill>
        <patternFill>
          <bgColor rgb="FFF8D7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CA"/>
              <a:t>Annual Cost Overview</a:t>
            </a:r>
          </a:p>
        </c:rich>
      </c:tx>
      <c:overlay val="0"/>
    </c:title>
    <c:autoTitleDeleted val="0"/>
    <c:plotArea>
      <c:layout/>
      <c:barChart>
        <c:barDir val="col"/>
        <c:grouping val="clustered"/>
        <c:varyColors val="1"/>
        <c:ser>
          <c:idx val="0"/>
          <c:order val="0"/>
          <c:spPr>
            <a:ln/>
          </c:spPr>
          <c:invertIfNegative val="1"/>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Dashboard!$B$9:$B$11</c:f>
              <c:strCache>
                <c:ptCount val="3"/>
                <c:pt idx="0">
                  <c:v>Annual premium</c:v>
                </c:pt>
                <c:pt idx="1">
                  <c:v>Worst-case annual cost</c:v>
                </c:pt>
                <c:pt idx="2">
                  <c:v>Expected total annual cost</c:v>
                </c:pt>
              </c:strCache>
            </c:strRef>
          </c:cat>
          <c:val>
            <c:numRef>
              <c:f>Dashboard!$C$9:$C$11</c:f>
              <c:numCache>
                <c:formatCode>\$#,##0</c:formatCode>
                <c:ptCount val="3"/>
                <c:pt idx="0">
                  <c:v>0</c:v>
                </c:pt>
                <c:pt idx="1">
                  <c:v>0</c:v>
                </c:pt>
                <c:pt idx="2">
                  <c:v>0</c:v>
                </c:pt>
              </c:numCache>
            </c:numRef>
          </c:val>
          <c:extLst>
            <c:ext xmlns:c16="http://schemas.microsoft.com/office/drawing/2014/chart" uri="{C3380CC4-5D6E-409C-BE32-E72D297353CC}">
              <c16:uniqueId val="{00000000-DA8F-4BD1-9E87-4C1939B91605}"/>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title>
          <c:tx>
            <c:rich>
              <a:bodyPr/>
              <a:lstStyle/>
              <a:p>
                <a:r>
                  <a:rPr lang="en-CA"/>
                  <a:t>None</a:t>
                </a:r>
              </a:p>
            </c:rich>
          </c:tx>
          <c:overlay val="1"/>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title>
          <c:tx>
            <c:rich>
              <a:bodyPr/>
              <a:lstStyle/>
              <a:p>
                <a:r>
                  <a:rPr lang="en-CA"/>
                  <a:t>Amount</a:t>
                </a:r>
              </a:p>
            </c:rich>
          </c:tx>
          <c:overlay val="1"/>
        </c:title>
        <c:numFmt formatCode="\$#,##0" sourceLinked="1"/>
        <c:majorTickMark val="none"/>
        <c:minorTickMark val="none"/>
        <c:tickLblPos val="nextTo"/>
        <c:crossAx val="48650112"/>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0</xdr:colOff>
      <xdr:row>0</xdr:row>
      <xdr:rowOff>0</xdr:rowOff>
    </xdr:from>
    <xdr:ext cx="3200400" cy="2400300"/>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0</xdr:row>
      <xdr:rowOff>0</xdr:rowOff>
    </xdr:from>
    <xdr:ext cx="3200400" cy="2400300"/>
    <xdr:pic>
      <xdr:nvPicPr>
        <xdr:cNvPr id="2" name="/xl/media/image2.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6</xdr:col>
      <xdr:colOff>0</xdr:colOff>
      <xdr:row>0</xdr:row>
      <xdr:rowOff>0</xdr:rowOff>
    </xdr:from>
    <xdr:ext cx="3200400" cy="2400300"/>
    <xdr:pic>
      <xdr:nvPicPr>
        <xdr:cNvPr id="2" name="/xl/media/image3.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6</xdr:col>
      <xdr:colOff>0</xdr:colOff>
      <xdr:row>0</xdr:row>
      <xdr:rowOff>0</xdr:rowOff>
    </xdr:from>
    <xdr:ext cx="3200400" cy="2400300"/>
    <xdr:pic>
      <xdr:nvPicPr>
        <xdr:cNvPr id="2" name="/xl/media/image4.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6</xdr:col>
      <xdr:colOff>0</xdr:colOff>
      <xdr:row>0</xdr:row>
      <xdr:rowOff>0</xdr:rowOff>
    </xdr:from>
    <xdr:ext cx="3200400" cy="2400300"/>
    <xdr:pic>
      <xdr:nvPicPr>
        <xdr:cNvPr id="2" name="/xl/media/image5.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2</xdr:col>
      <xdr:colOff>0</xdr:colOff>
      <xdr:row>7</xdr:row>
      <xdr:rowOff>0</xdr:rowOff>
    </xdr:from>
    <xdr:to>
      <xdr:col>4</xdr:col>
      <xdr:colOff>0</xdr:colOff>
      <xdr:row>10</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0</xdr:colOff>
      <xdr:row>0</xdr:row>
      <xdr:rowOff>0</xdr:rowOff>
    </xdr:from>
    <xdr:ext cx="3200400" cy="2400300"/>
    <xdr:pic>
      <xdr:nvPicPr>
        <xdr:cNvPr id="3" name="/xl/media/image6.pn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showGridLines="0" tabSelected="1" workbookViewId="0">
      <selection activeCell="H17" sqref="H17"/>
    </sheetView>
  </sheetViews>
  <sheetFormatPr defaultRowHeight="14.4" x14ac:dyDescent="0.3"/>
  <cols>
    <col min="1" max="1" width="3" customWidth="1"/>
    <col min="2" max="2" width="26" customWidth="1"/>
    <col min="3" max="3" width="22" customWidth="1"/>
    <col min="4" max="7" width="18" customWidth="1"/>
    <col min="8" max="8" width="3" customWidth="1"/>
  </cols>
  <sheetData>
    <row r="1" spans="1:8" ht="28.05" customHeight="1" x14ac:dyDescent="0.3">
      <c r="A1" s="35" t="s">
        <v>0</v>
      </c>
      <c r="B1" s="29"/>
      <c r="C1" s="29"/>
      <c r="D1" s="29"/>
      <c r="E1" s="29"/>
      <c r="F1" s="29"/>
      <c r="G1" s="29"/>
      <c r="H1" s="29"/>
    </row>
    <row r="2" spans="1:8" ht="18" customHeight="1" x14ac:dyDescent="0.3">
      <c r="A2" s="34" t="s">
        <v>1</v>
      </c>
      <c r="B2" s="29"/>
      <c r="C2" s="29"/>
      <c r="D2" s="29"/>
      <c r="E2" s="29"/>
      <c r="F2" s="29"/>
      <c r="G2" s="29"/>
      <c r="H2" s="29"/>
    </row>
    <row r="4" spans="1:8" ht="17.399999999999999" x14ac:dyDescent="0.3">
      <c r="B4" s="1" t="s">
        <v>2</v>
      </c>
      <c r="C4" s="2" t="s">
        <v>3</v>
      </c>
      <c r="D4" s="3" t="s">
        <v>4</v>
      </c>
    </row>
    <row r="6" spans="1:8" ht="17.399999999999999" x14ac:dyDescent="0.35">
      <c r="B6" s="4" t="s">
        <v>5</v>
      </c>
    </row>
    <row r="7" spans="1:8" x14ac:dyDescent="0.3">
      <c r="A7" s="25" t="s">
        <v>6</v>
      </c>
      <c r="B7" s="26"/>
      <c r="C7" s="26"/>
      <c r="D7" s="26"/>
      <c r="E7" s="26"/>
      <c r="F7" s="26"/>
      <c r="G7" s="26"/>
      <c r="H7" s="27"/>
    </row>
    <row r="8" spans="1:8" x14ac:dyDescent="0.3">
      <c r="A8" s="28"/>
      <c r="B8" s="29"/>
      <c r="C8" s="29"/>
      <c r="D8" s="29"/>
      <c r="E8" s="29"/>
      <c r="F8" s="29"/>
      <c r="G8" s="29"/>
      <c r="H8" s="30"/>
    </row>
    <row r="9" spans="1:8" x14ac:dyDescent="0.3">
      <c r="A9" s="28"/>
      <c r="B9" s="29"/>
      <c r="C9" s="29"/>
      <c r="D9" s="29"/>
      <c r="E9" s="29"/>
      <c r="F9" s="29"/>
      <c r="G9" s="29"/>
      <c r="H9" s="30"/>
    </row>
    <row r="10" spans="1:8" x14ac:dyDescent="0.3">
      <c r="A10" s="28"/>
      <c r="B10" s="29"/>
      <c r="C10" s="29"/>
      <c r="D10" s="29"/>
      <c r="E10" s="29"/>
      <c r="F10" s="29"/>
      <c r="G10" s="29"/>
      <c r="H10" s="30"/>
    </row>
    <row r="11" spans="1:8" x14ac:dyDescent="0.3">
      <c r="A11" s="31"/>
      <c r="B11" s="32"/>
      <c r="C11" s="32"/>
      <c r="D11" s="32"/>
      <c r="E11" s="32"/>
      <c r="F11" s="32"/>
      <c r="G11" s="32"/>
      <c r="H11" s="33"/>
    </row>
    <row r="13" spans="1:8" ht="17.399999999999999" x14ac:dyDescent="0.35">
      <c r="B13" s="4" t="s">
        <v>7</v>
      </c>
    </row>
    <row r="14" spans="1:8" x14ac:dyDescent="0.3">
      <c r="B14" s="5" t="s">
        <v>8</v>
      </c>
    </row>
    <row r="15" spans="1:8" x14ac:dyDescent="0.3">
      <c r="B15" s="6" t="s">
        <v>9</v>
      </c>
    </row>
    <row r="16" spans="1:8" x14ac:dyDescent="0.3">
      <c r="B16" s="6" t="s">
        <v>10</v>
      </c>
    </row>
    <row r="18" spans="2:3" x14ac:dyDescent="0.3">
      <c r="B18" s="7" t="s">
        <v>11</v>
      </c>
      <c r="C18" s="2" t="s">
        <v>12</v>
      </c>
    </row>
  </sheetData>
  <mergeCells count="3">
    <mergeCell ref="A7:H11"/>
    <mergeCell ref="A2:H2"/>
    <mergeCell ref="A1:H1"/>
  </mergeCells>
  <dataValidations count="1">
    <dataValidation type="list" sqref="D4" xr:uid="{00000000-0002-0000-0000-000000000000}">
      <formula1>"US,CAN,AUS,UK"</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2"/>
  <sheetViews>
    <sheetView showGridLines="0" workbookViewId="0">
      <selection sqref="A1:H1"/>
    </sheetView>
  </sheetViews>
  <sheetFormatPr defaultRowHeight="14.4" x14ac:dyDescent="0.3"/>
  <cols>
    <col min="1" max="1" width="3" customWidth="1"/>
    <col min="2" max="2" width="30" customWidth="1"/>
    <col min="3" max="3" width="22" customWidth="1"/>
    <col min="4" max="7" width="18" customWidth="1"/>
    <col min="8" max="8" width="3" customWidth="1"/>
  </cols>
  <sheetData>
    <row r="1" spans="1:8" ht="28.05" customHeight="1" x14ac:dyDescent="0.3">
      <c r="A1" s="35" t="s">
        <v>13</v>
      </c>
      <c r="B1" s="29"/>
      <c r="C1" s="29"/>
      <c r="D1" s="29"/>
      <c r="E1" s="29"/>
      <c r="F1" s="29"/>
      <c r="G1" s="29"/>
      <c r="H1" s="29"/>
    </row>
    <row r="2" spans="1:8" ht="18" customHeight="1" x14ac:dyDescent="0.3">
      <c r="A2" s="34" t="s">
        <v>14</v>
      </c>
      <c r="B2" s="29"/>
      <c r="C2" s="29"/>
      <c r="D2" s="29"/>
      <c r="E2" s="29"/>
      <c r="F2" s="29"/>
      <c r="G2" s="29"/>
      <c r="H2" s="29"/>
    </row>
    <row r="4" spans="1:8" ht="22.05" customHeight="1" x14ac:dyDescent="0.3">
      <c r="A4" s="36" t="s">
        <v>15</v>
      </c>
      <c r="B4" s="29"/>
      <c r="C4" s="29"/>
      <c r="D4" s="29"/>
      <c r="E4" s="29"/>
      <c r="F4" s="29"/>
      <c r="G4" s="29"/>
      <c r="H4" s="29"/>
    </row>
    <row r="5" spans="1:8" x14ac:dyDescent="0.3">
      <c r="B5" s="8" t="s">
        <v>16</v>
      </c>
      <c r="C5" s="8"/>
      <c r="D5" s="8" t="s">
        <v>17</v>
      </c>
      <c r="E5" s="8"/>
    </row>
    <row r="6" spans="1:8" x14ac:dyDescent="0.3">
      <c r="B6" s="9" t="s">
        <v>18</v>
      </c>
      <c r="C6" s="3" t="s">
        <v>19</v>
      </c>
      <c r="D6" s="9" t="s">
        <v>20</v>
      </c>
      <c r="E6" s="3" t="s">
        <v>19</v>
      </c>
    </row>
    <row r="7" spans="1:8" x14ac:dyDescent="0.3">
      <c r="B7" s="9" t="s">
        <v>21</v>
      </c>
      <c r="C7" s="10">
        <v>0</v>
      </c>
      <c r="D7" s="9" t="s">
        <v>22</v>
      </c>
      <c r="E7" s="10">
        <v>0</v>
      </c>
    </row>
    <row r="8" spans="1:8" x14ac:dyDescent="0.3">
      <c r="B8" s="9" t="s">
        <v>23</v>
      </c>
      <c r="C8" s="10">
        <v>0</v>
      </c>
      <c r="D8" s="9" t="s">
        <v>24</v>
      </c>
      <c r="E8" s="10">
        <v>0</v>
      </c>
    </row>
    <row r="9" spans="1:8" x14ac:dyDescent="0.3">
      <c r="B9" s="11" t="s">
        <v>25</v>
      </c>
      <c r="C9" s="10">
        <v>0</v>
      </c>
      <c r="D9" s="11" t="s">
        <v>26</v>
      </c>
      <c r="E9" s="3" t="s">
        <v>27</v>
      </c>
    </row>
    <row r="10" spans="1:8" x14ac:dyDescent="0.3">
      <c r="B10" s="8"/>
      <c r="C10" s="8"/>
    </row>
    <row r="11" spans="1:8" ht="22.05" customHeight="1" x14ac:dyDescent="0.3">
      <c r="A11" s="36" t="s">
        <v>28</v>
      </c>
      <c r="B11" s="29"/>
      <c r="C11" s="29"/>
      <c r="D11" s="29"/>
      <c r="E11" s="29"/>
      <c r="F11" s="29"/>
      <c r="G11" s="29"/>
      <c r="H11" s="29"/>
    </row>
    <row r="12" spans="1:8" x14ac:dyDescent="0.3">
      <c r="B12" s="8"/>
      <c r="C12" s="8"/>
    </row>
    <row r="13" spans="1:8" x14ac:dyDescent="0.3">
      <c r="B13" s="9" t="s">
        <v>29</v>
      </c>
      <c r="C13" s="12">
        <v>0</v>
      </c>
    </row>
    <row r="14" spans="1:8" x14ac:dyDescent="0.3">
      <c r="B14" s="9" t="s">
        <v>30</v>
      </c>
      <c r="C14" s="12">
        <v>0</v>
      </c>
      <c r="D14" s="8"/>
      <c r="E14" s="8"/>
    </row>
    <row r="15" spans="1:8" x14ac:dyDescent="0.3">
      <c r="B15" s="9" t="s">
        <v>31</v>
      </c>
      <c r="C15" s="12">
        <v>0</v>
      </c>
      <c r="D15" s="8"/>
      <c r="E15" s="8"/>
    </row>
    <row r="16" spans="1:8" x14ac:dyDescent="0.3">
      <c r="B16" s="9" t="s">
        <v>32</v>
      </c>
      <c r="C16" s="12">
        <v>0</v>
      </c>
    </row>
    <row r="17" spans="1:8" x14ac:dyDescent="0.3">
      <c r="B17" s="9" t="s">
        <v>33</v>
      </c>
      <c r="C17" s="12">
        <v>0</v>
      </c>
    </row>
    <row r="18" spans="1:8" x14ac:dyDescent="0.3">
      <c r="B18" s="11" t="s">
        <v>34</v>
      </c>
      <c r="C18" s="12">
        <v>0</v>
      </c>
    </row>
    <row r="19" spans="1:8" x14ac:dyDescent="0.3">
      <c r="B19" s="9" t="s">
        <v>35</v>
      </c>
      <c r="C19" s="12">
        <v>0</v>
      </c>
    </row>
    <row r="20" spans="1:8" x14ac:dyDescent="0.3">
      <c r="B20" s="9" t="s">
        <v>36</v>
      </c>
      <c r="C20" s="12">
        <v>0</v>
      </c>
    </row>
    <row r="21" spans="1:8" x14ac:dyDescent="0.3">
      <c r="B21" s="8"/>
      <c r="C21" s="8"/>
    </row>
    <row r="22" spans="1:8" ht="22.05" customHeight="1" x14ac:dyDescent="0.3">
      <c r="A22" s="36" t="s">
        <v>37</v>
      </c>
      <c r="B22" s="29"/>
      <c r="C22" s="29"/>
      <c r="D22" s="29"/>
      <c r="E22" s="29"/>
      <c r="F22" s="29"/>
      <c r="G22" s="29"/>
      <c r="H22" s="29"/>
    </row>
    <row r="23" spans="1:8" x14ac:dyDescent="0.3">
      <c r="B23" s="8"/>
      <c r="C23" s="8"/>
    </row>
    <row r="24" spans="1:8" x14ac:dyDescent="0.3">
      <c r="B24" s="9" t="s">
        <v>38</v>
      </c>
      <c r="C24" s="13">
        <f>C5*12</f>
        <v>0</v>
      </c>
      <c r="D24" s="11" t="s">
        <v>39</v>
      </c>
      <c r="E24" s="13">
        <f>C5*12 + C7</f>
        <v>0</v>
      </c>
    </row>
    <row r="25" spans="1:8" x14ac:dyDescent="0.3">
      <c r="B25" s="11" t="s">
        <v>40</v>
      </c>
      <c r="C25" s="10">
        <v>0</v>
      </c>
      <c r="D25" s="11" t="s">
        <v>41</v>
      </c>
      <c r="E25" s="13">
        <f>C5*12 + C25</f>
        <v>0</v>
      </c>
    </row>
    <row r="27" spans="1:8" ht="22.05" customHeight="1" x14ac:dyDescent="0.3">
      <c r="A27" s="37" t="s">
        <v>42</v>
      </c>
      <c r="B27" s="32"/>
      <c r="C27" s="32"/>
      <c r="D27" s="32"/>
      <c r="E27" s="32"/>
      <c r="F27" s="32"/>
      <c r="G27" s="32"/>
      <c r="H27" s="33"/>
    </row>
    <row r="28" spans="1:8" x14ac:dyDescent="0.3">
      <c r="B28" s="8"/>
      <c r="C28" s="8"/>
      <c r="D28" s="8"/>
      <c r="E28" s="8"/>
      <c r="F28" s="8"/>
      <c r="G28" s="8"/>
      <c r="H28" s="8"/>
    </row>
    <row r="29" spans="1:8" x14ac:dyDescent="0.3">
      <c r="B29" s="9" t="s">
        <v>43</v>
      </c>
      <c r="C29" s="12">
        <v>3</v>
      </c>
      <c r="D29" s="8"/>
      <c r="E29" s="8"/>
      <c r="F29" s="8"/>
      <c r="G29" s="8"/>
      <c r="H29" s="8"/>
    </row>
    <row r="30" spans="1:8" x14ac:dyDescent="0.3">
      <c r="B30" s="9" t="s">
        <v>44</v>
      </c>
      <c r="C30" s="12">
        <v>3</v>
      </c>
      <c r="D30" s="8"/>
      <c r="E30" s="8"/>
      <c r="F30" s="8"/>
      <c r="G30" s="8"/>
      <c r="H30" s="8"/>
    </row>
    <row r="31" spans="1:8" x14ac:dyDescent="0.3">
      <c r="B31" s="11" t="s">
        <v>45</v>
      </c>
      <c r="C31" s="12">
        <v>3</v>
      </c>
    </row>
    <row r="32" spans="1:8" x14ac:dyDescent="0.3">
      <c r="B32" s="11" t="s">
        <v>46</v>
      </c>
      <c r="C32" s="12">
        <v>3</v>
      </c>
    </row>
    <row r="33" spans="1:8" x14ac:dyDescent="0.3">
      <c r="B33" s="11" t="s">
        <v>47</v>
      </c>
      <c r="C33" s="12">
        <v>3</v>
      </c>
    </row>
    <row r="35" spans="1:8" x14ac:dyDescent="0.3">
      <c r="B35" s="11" t="s">
        <v>48</v>
      </c>
      <c r="C35" s="14">
        <f>SUM(C29:C33)</f>
        <v>15</v>
      </c>
      <c r="D35" s="11" t="s">
        <v>49</v>
      </c>
      <c r="E35" s="15" t="str">
        <f>IF(C35&gt;=20,"Strong",IF(C35&gt;=15,"Moderate gaps","High risk"))</f>
        <v>Moderate gaps</v>
      </c>
    </row>
    <row r="38" spans="1:8" x14ac:dyDescent="0.3">
      <c r="A38" s="25" t="s">
        <v>50</v>
      </c>
      <c r="B38" s="26"/>
      <c r="C38" s="26"/>
      <c r="D38" s="26"/>
      <c r="E38" s="26"/>
      <c r="F38" s="26"/>
      <c r="G38" s="26"/>
      <c r="H38" s="27"/>
    </row>
    <row r="39" spans="1:8" x14ac:dyDescent="0.3">
      <c r="A39" s="28"/>
      <c r="B39" s="29"/>
      <c r="C39" s="29"/>
      <c r="D39" s="29"/>
      <c r="E39" s="29"/>
      <c r="F39" s="29"/>
      <c r="G39" s="29"/>
      <c r="H39" s="30"/>
    </row>
    <row r="40" spans="1:8" x14ac:dyDescent="0.3">
      <c r="A40" s="28"/>
      <c r="B40" s="29"/>
      <c r="C40" s="29"/>
      <c r="D40" s="29"/>
      <c r="E40" s="29"/>
      <c r="F40" s="29"/>
      <c r="G40" s="29"/>
      <c r="H40" s="30"/>
    </row>
    <row r="41" spans="1:8" x14ac:dyDescent="0.3">
      <c r="A41" s="28"/>
      <c r="B41" s="29"/>
      <c r="C41" s="29"/>
      <c r="D41" s="29"/>
      <c r="E41" s="29"/>
      <c r="F41" s="29"/>
      <c r="G41" s="29"/>
      <c r="H41" s="30"/>
    </row>
    <row r="42" spans="1:8" x14ac:dyDescent="0.3">
      <c r="A42" s="31"/>
      <c r="B42" s="32"/>
      <c r="C42" s="32"/>
      <c r="D42" s="32"/>
      <c r="E42" s="32"/>
      <c r="F42" s="32"/>
      <c r="G42" s="32"/>
      <c r="H42" s="33"/>
    </row>
  </sheetData>
  <mergeCells count="7">
    <mergeCell ref="A4:H4"/>
    <mergeCell ref="A38:H42"/>
    <mergeCell ref="A2:H2"/>
    <mergeCell ref="A11:H11"/>
    <mergeCell ref="A1:H1"/>
    <mergeCell ref="A27:H27"/>
    <mergeCell ref="A22:H22"/>
  </mergeCells>
  <conditionalFormatting sqref="E35">
    <cfRule type="cellIs" dxfId="11" priority="1" operator="equal">
      <formula>"High risk"</formula>
    </cfRule>
    <cfRule type="cellIs" dxfId="10" priority="2" operator="equal">
      <formula>"Moderate gaps"</formula>
    </cfRule>
    <cfRule type="cellIs" dxfId="9" priority="3" operator="equal">
      <formula>"Strong"</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2"/>
  <sheetViews>
    <sheetView showGridLines="0" workbookViewId="0">
      <selection sqref="A1:H1"/>
    </sheetView>
  </sheetViews>
  <sheetFormatPr defaultRowHeight="14.4" x14ac:dyDescent="0.3"/>
  <cols>
    <col min="1" max="1" width="3" customWidth="1"/>
    <col min="2" max="2" width="30" customWidth="1"/>
    <col min="3" max="3" width="22" customWidth="1"/>
    <col min="4" max="7" width="18" customWidth="1"/>
    <col min="8" max="8" width="3" customWidth="1"/>
  </cols>
  <sheetData>
    <row r="1" spans="1:8" ht="28.05" customHeight="1" x14ac:dyDescent="0.3">
      <c r="A1" s="35" t="s">
        <v>51</v>
      </c>
      <c r="B1" s="29"/>
      <c r="C1" s="29"/>
      <c r="D1" s="29"/>
      <c r="E1" s="29"/>
      <c r="F1" s="29"/>
      <c r="G1" s="29"/>
      <c r="H1" s="29"/>
    </row>
    <row r="2" spans="1:8" ht="18" customHeight="1" x14ac:dyDescent="0.3">
      <c r="A2" s="34" t="s">
        <v>14</v>
      </c>
      <c r="B2" s="29"/>
      <c r="C2" s="29"/>
      <c r="D2" s="29"/>
      <c r="E2" s="29"/>
      <c r="F2" s="29"/>
      <c r="G2" s="29"/>
      <c r="H2" s="29"/>
    </row>
    <row r="4" spans="1:8" ht="22.05" customHeight="1" x14ac:dyDescent="0.3">
      <c r="A4" s="36" t="s">
        <v>15</v>
      </c>
      <c r="B4" s="29"/>
      <c r="C4" s="29"/>
      <c r="D4" s="29"/>
      <c r="E4" s="29"/>
      <c r="F4" s="29"/>
      <c r="G4" s="29"/>
      <c r="H4" s="29"/>
    </row>
    <row r="5" spans="1:8" x14ac:dyDescent="0.3">
      <c r="B5" s="8"/>
      <c r="C5" s="8"/>
      <c r="D5" s="8" t="s">
        <v>52</v>
      </c>
      <c r="E5" s="8"/>
    </row>
    <row r="6" spans="1:8" x14ac:dyDescent="0.3">
      <c r="B6" s="9" t="s">
        <v>53</v>
      </c>
      <c r="C6" s="3" t="s">
        <v>19</v>
      </c>
      <c r="D6" s="9" t="s">
        <v>54</v>
      </c>
      <c r="E6" s="3" t="s">
        <v>19</v>
      </c>
    </row>
    <row r="7" spans="1:8" x14ac:dyDescent="0.3">
      <c r="B7" s="9" t="s">
        <v>21</v>
      </c>
      <c r="C7" s="10">
        <v>0</v>
      </c>
      <c r="D7" s="9" t="s">
        <v>22</v>
      </c>
      <c r="E7" s="10">
        <v>0</v>
      </c>
    </row>
    <row r="8" spans="1:8" x14ac:dyDescent="0.3">
      <c r="B8" s="9" t="s">
        <v>23</v>
      </c>
      <c r="C8" s="10">
        <v>0</v>
      </c>
      <c r="D8" s="9" t="s">
        <v>24</v>
      </c>
      <c r="E8" s="10">
        <v>0</v>
      </c>
    </row>
    <row r="9" spans="1:8" x14ac:dyDescent="0.3">
      <c r="B9" s="11" t="s">
        <v>25</v>
      </c>
      <c r="C9" s="10">
        <v>0</v>
      </c>
      <c r="D9" s="11" t="s">
        <v>26</v>
      </c>
      <c r="E9" s="3" t="s">
        <v>27</v>
      </c>
    </row>
    <row r="10" spans="1:8" x14ac:dyDescent="0.3">
      <c r="B10" s="8"/>
      <c r="C10" s="8"/>
    </row>
    <row r="11" spans="1:8" ht="22.05" customHeight="1" x14ac:dyDescent="0.3">
      <c r="A11" s="36" t="s">
        <v>28</v>
      </c>
      <c r="B11" s="29"/>
      <c r="C11" s="29"/>
      <c r="D11" s="29"/>
      <c r="E11" s="29"/>
      <c r="F11" s="29"/>
      <c r="G11" s="29"/>
      <c r="H11" s="29"/>
    </row>
    <row r="12" spans="1:8" x14ac:dyDescent="0.3">
      <c r="B12" s="8"/>
      <c r="C12" s="8"/>
    </row>
    <row r="13" spans="1:8" x14ac:dyDescent="0.3">
      <c r="B13" s="9" t="s">
        <v>29</v>
      </c>
      <c r="C13" s="12">
        <v>0</v>
      </c>
    </row>
    <row r="14" spans="1:8" x14ac:dyDescent="0.3">
      <c r="B14" s="9" t="s">
        <v>30</v>
      </c>
      <c r="C14" s="12">
        <v>0</v>
      </c>
      <c r="D14" s="8"/>
      <c r="E14" s="8"/>
    </row>
    <row r="15" spans="1:8" x14ac:dyDescent="0.3">
      <c r="B15" s="9" t="s">
        <v>31</v>
      </c>
      <c r="C15" s="12">
        <v>0</v>
      </c>
      <c r="D15" s="8"/>
      <c r="E15" s="8"/>
    </row>
    <row r="16" spans="1:8" x14ac:dyDescent="0.3">
      <c r="B16" s="9" t="s">
        <v>32</v>
      </c>
      <c r="C16" s="12">
        <v>0</v>
      </c>
    </row>
    <row r="17" spans="1:8" x14ac:dyDescent="0.3">
      <c r="B17" s="9" t="s">
        <v>33</v>
      </c>
      <c r="C17" s="12">
        <v>0</v>
      </c>
    </row>
    <row r="18" spans="1:8" x14ac:dyDescent="0.3">
      <c r="B18" s="11" t="s">
        <v>34</v>
      </c>
      <c r="C18" s="12">
        <v>0</v>
      </c>
    </row>
    <row r="19" spans="1:8" x14ac:dyDescent="0.3">
      <c r="B19" s="9" t="s">
        <v>35</v>
      </c>
      <c r="C19" s="12">
        <v>0</v>
      </c>
    </row>
    <row r="20" spans="1:8" x14ac:dyDescent="0.3">
      <c r="B20" s="9" t="s">
        <v>36</v>
      </c>
      <c r="C20" s="12">
        <v>0</v>
      </c>
    </row>
    <row r="21" spans="1:8" x14ac:dyDescent="0.3">
      <c r="B21" s="8"/>
      <c r="C21" s="8"/>
    </row>
    <row r="22" spans="1:8" ht="22.05" customHeight="1" x14ac:dyDescent="0.3">
      <c r="A22" s="36" t="s">
        <v>37</v>
      </c>
      <c r="B22" s="29"/>
      <c r="C22" s="29"/>
      <c r="D22" s="29"/>
      <c r="E22" s="29"/>
      <c r="F22" s="29"/>
      <c r="G22" s="29"/>
      <c r="H22" s="29"/>
    </row>
    <row r="23" spans="1:8" x14ac:dyDescent="0.3">
      <c r="B23" s="8"/>
      <c r="C23" s="8"/>
    </row>
    <row r="24" spans="1:8" x14ac:dyDescent="0.3">
      <c r="B24" s="9" t="s">
        <v>38</v>
      </c>
      <c r="C24" s="13">
        <f>C5*12</f>
        <v>0</v>
      </c>
      <c r="D24" s="11" t="s">
        <v>39</v>
      </c>
      <c r="E24" s="13">
        <f>C5*12 + C7</f>
        <v>0</v>
      </c>
    </row>
    <row r="25" spans="1:8" x14ac:dyDescent="0.3">
      <c r="B25" s="11" t="s">
        <v>40</v>
      </c>
      <c r="C25" s="10">
        <v>0</v>
      </c>
      <c r="D25" s="11" t="s">
        <v>41</v>
      </c>
      <c r="E25" s="13">
        <f>C5*12 + C25</f>
        <v>0</v>
      </c>
    </row>
    <row r="27" spans="1:8" ht="22.05" customHeight="1" x14ac:dyDescent="0.3">
      <c r="A27" s="37" t="s">
        <v>42</v>
      </c>
      <c r="B27" s="32"/>
      <c r="C27" s="32"/>
      <c r="D27" s="32"/>
      <c r="E27" s="32"/>
      <c r="F27" s="32"/>
      <c r="G27" s="32"/>
      <c r="H27" s="33"/>
    </row>
    <row r="28" spans="1:8" x14ac:dyDescent="0.3">
      <c r="B28" s="8"/>
      <c r="C28" s="8"/>
      <c r="D28" s="8"/>
      <c r="E28" s="8"/>
      <c r="F28" s="8"/>
      <c r="G28" s="8"/>
      <c r="H28" s="8"/>
    </row>
    <row r="29" spans="1:8" x14ac:dyDescent="0.3">
      <c r="B29" s="9" t="s">
        <v>43</v>
      </c>
      <c r="C29" s="12">
        <v>3</v>
      </c>
      <c r="D29" s="8"/>
      <c r="E29" s="8"/>
      <c r="F29" s="8"/>
      <c r="G29" s="8"/>
      <c r="H29" s="8"/>
    </row>
    <row r="30" spans="1:8" x14ac:dyDescent="0.3">
      <c r="B30" s="9" t="s">
        <v>44</v>
      </c>
      <c r="C30" s="12">
        <v>3</v>
      </c>
      <c r="D30" s="8"/>
      <c r="E30" s="8"/>
      <c r="F30" s="8"/>
      <c r="G30" s="8"/>
      <c r="H30" s="8"/>
    </row>
    <row r="31" spans="1:8" x14ac:dyDescent="0.3">
      <c r="B31" s="11" t="s">
        <v>45</v>
      </c>
      <c r="C31" s="12">
        <v>3</v>
      </c>
    </row>
    <row r="32" spans="1:8" x14ac:dyDescent="0.3">
      <c r="B32" s="11" t="s">
        <v>46</v>
      </c>
      <c r="C32" s="12">
        <v>3</v>
      </c>
    </row>
    <row r="33" spans="1:8" x14ac:dyDescent="0.3">
      <c r="B33" s="11" t="s">
        <v>47</v>
      </c>
      <c r="C33" s="12">
        <v>3</v>
      </c>
    </row>
    <row r="35" spans="1:8" x14ac:dyDescent="0.3">
      <c r="B35" s="11" t="s">
        <v>48</v>
      </c>
      <c r="C35" s="14">
        <f>SUM(C29:C33)</f>
        <v>15</v>
      </c>
      <c r="D35" s="11" t="s">
        <v>49</v>
      </c>
      <c r="E35" s="15" t="str">
        <f>IF(C35&gt;=20,"Strong",IF(C35&gt;=15,"Moderate gaps","High risk"))</f>
        <v>Moderate gaps</v>
      </c>
    </row>
    <row r="38" spans="1:8" x14ac:dyDescent="0.3">
      <c r="A38" s="25" t="s">
        <v>50</v>
      </c>
      <c r="B38" s="26"/>
      <c r="C38" s="26"/>
      <c r="D38" s="26"/>
      <c r="E38" s="26"/>
      <c r="F38" s="26"/>
      <c r="G38" s="26"/>
      <c r="H38" s="27"/>
    </row>
    <row r="39" spans="1:8" x14ac:dyDescent="0.3">
      <c r="A39" s="28"/>
      <c r="B39" s="29"/>
      <c r="C39" s="29"/>
      <c r="D39" s="29"/>
      <c r="E39" s="29"/>
      <c r="F39" s="29"/>
      <c r="G39" s="29"/>
      <c r="H39" s="30"/>
    </row>
    <row r="40" spans="1:8" x14ac:dyDescent="0.3">
      <c r="A40" s="28"/>
      <c r="B40" s="29"/>
      <c r="C40" s="29"/>
      <c r="D40" s="29"/>
      <c r="E40" s="29"/>
      <c r="F40" s="29"/>
      <c r="G40" s="29"/>
      <c r="H40" s="30"/>
    </row>
    <row r="41" spans="1:8" x14ac:dyDescent="0.3">
      <c r="A41" s="28"/>
      <c r="B41" s="29"/>
      <c r="C41" s="29"/>
      <c r="D41" s="29"/>
      <c r="E41" s="29"/>
      <c r="F41" s="29"/>
      <c r="G41" s="29"/>
      <c r="H41" s="30"/>
    </row>
    <row r="42" spans="1:8" x14ac:dyDescent="0.3">
      <c r="A42" s="31"/>
      <c r="B42" s="32"/>
      <c r="C42" s="32"/>
      <c r="D42" s="32"/>
      <c r="E42" s="32"/>
      <c r="F42" s="32"/>
      <c r="G42" s="32"/>
      <c r="H42" s="33"/>
    </row>
  </sheetData>
  <mergeCells count="7">
    <mergeCell ref="A4:H4"/>
    <mergeCell ref="A38:H42"/>
    <mergeCell ref="A2:H2"/>
    <mergeCell ref="A11:H11"/>
    <mergeCell ref="A1:H1"/>
    <mergeCell ref="A27:H27"/>
    <mergeCell ref="A22:H22"/>
  </mergeCells>
  <conditionalFormatting sqref="E35">
    <cfRule type="cellIs" dxfId="8" priority="1" operator="equal">
      <formula>"High risk"</formula>
    </cfRule>
    <cfRule type="cellIs" dxfId="7" priority="2" operator="equal">
      <formula>"Moderate gaps"</formula>
    </cfRule>
    <cfRule type="cellIs" dxfId="6" priority="3" operator="equal">
      <formula>"Strong"</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2"/>
  <sheetViews>
    <sheetView showGridLines="0" workbookViewId="0">
      <selection sqref="A1:H1"/>
    </sheetView>
  </sheetViews>
  <sheetFormatPr defaultRowHeight="14.4" x14ac:dyDescent="0.3"/>
  <cols>
    <col min="1" max="1" width="3" customWidth="1"/>
    <col min="2" max="2" width="30" customWidth="1"/>
    <col min="3" max="3" width="22" customWidth="1"/>
    <col min="4" max="7" width="18" customWidth="1"/>
    <col min="8" max="8" width="3" customWidth="1"/>
  </cols>
  <sheetData>
    <row r="1" spans="1:8" ht="28.05" customHeight="1" x14ac:dyDescent="0.3">
      <c r="A1" s="35" t="s">
        <v>55</v>
      </c>
      <c r="B1" s="29"/>
      <c r="C1" s="29"/>
      <c r="D1" s="29"/>
      <c r="E1" s="29"/>
      <c r="F1" s="29"/>
      <c r="G1" s="29"/>
      <c r="H1" s="29"/>
    </row>
    <row r="2" spans="1:8" ht="18" customHeight="1" x14ac:dyDescent="0.3">
      <c r="A2" s="34" t="s">
        <v>14</v>
      </c>
      <c r="B2" s="29"/>
      <c r="C2" s="29"/>
      <c r="D2" s="29"/>
      <c r="E2" s="29"/>
      <c r="F2" s="29"/>
      <c r="G2" s="29"/>
      <c r="H2" s="29"/>
    </row>
    <row r="4" spans="1:8" ht="22.05" customHeight="1" x14ac:dyDescent="0.3">
      <c r="A4" s="36" t="s">
        <v>15</v>
      </c>
      <c r="B4" s="29"/>
      <c r="C4" s="29"/>
      <c r="D4" s="29"/>
      <c r="E4" s="29"/>
      <c r="F4" s="29"/>
      <c r="G4" s="29"/>
      <c r="H4" s="29"/>
    </row>
    <row r="5" spans="1:8" x14ac:dyDescent="0.3">
      <c r="B5" s="8"/>
      <c r="C5" s="8"/>
      <c r="D5" s="8" t="s">
        <v>56</v>
      </c>
      <c r="E5" s="8"/>
    </row>
    <row r="6" spans="1:8" x14ac:dyDescent="0.3">
      <c r="B6" s="9" t="s">
        <v>18</v>
      </c>
      <c r="C6" s="3" t="s">
        <v>19</v>
      </c>
      <c r="D6" s="9" t="s">
        <v>20</v>
      </c>
      <c r="E6" s="3" t="s">
        <v>19</v>
      </c>
    </row>
    <row r="7" spans="1:8" x14ac:dyDescent="0.3">
      <c r="B7" s="9" t="s">
        <v>57</v>
      </c>
      <c r="C7" s="10">
        <v>0</v>
      </c>
      <c r="D7" s="9" t="s">
        <v>22</v>
      </c>
      <c r="E7" s="10">
        <v>0</v>
      </c>
    </row>
    <row r="8" spans="1:8" x14ac:dyDescent="0.3">
      <c r="B8" s="9" t="s">
        <v>23</v>
      </c>
      <c r="C8" s="10">
        <v>0</v>
      </c>
      <c r="D8" s="9" t="s">
        <v>24</v>
      </c>
      <c r="E8" s="10">
        <v>0</v>
      </c>
    </row>
    <row r="9" spans="1:8" x14ac:dyDescent="0.3">
      <c r="B9" s="11" t="s">
        <v>25</v>
      </c>
      <c r="C9" s="10">
        <v>0</v>
      </c>
      <c r="D9" s="11" t="s">
        <v>26</v>
      </c>
      <c r="E9" s="3" t="s">
        <v>27</v>
      </c>
    </row>
    <row r="10" spans="1:8" x14ac:dyDescent="0.3">
      <c r="B10" s="8"/>
      <c r="C10" s="8"/>
    </row>
    <row r="11" spans="1:8" ht="22.05" customHeight="1" x14ac:dyDescent="0.3">
      <c r="A11" s="36" t="s">
        <v>28</v>
      </c>
      <c r="B11" s="29"/>
      <c r="C11" s="29"/>
      <c r="D11" s="29"/>
      <c r="E11" s="29"/>
      <c r="F11" s="29"/>
      <c r="G11" s="29"/>
      <c r="H11" s="29"/>
    </row>
    <row r="12" spans="1:8" x14ac:dyDescent="0.3">
      <c r="B12" s="8"/>
      <c r="C12" s="8"/>
    </row>
    <row r="13" spans="1:8" x14ac:dyDescent="0.3">
      <c r="B13" s="9" t="s">
        <v>29</v>
      </c>
      <c r="C13" s="12">
        <v>0</v>
      </c>
    </row>
    <row r="14" spans="1:8" x14ac:dyDescent="0.3">
      <c r="B14" s="9" t="s">
        <v>30</v>
      </c>
      <c r="C14" s="12">
        <v>0</v>
      </c>
      <c r="D14" s="8"/>
      <c r="E14" s="8"/>
    </row>
    <row r="15" spans="1:8" x14ac:dyDescent="0.3">
      <c r="B15" s="9" t="s">
        <v>31</v>
      </c>
      <c r="C15" s="12">
        <v>0</v>
      </c>
      <c r="D15" s="8"/>
      <c r="E15" s="8"/>
    </row>
    <row r="16" spans="1:8" x14ac:dyDescent="0.3">
      <c r="B16" s="9" t="s">
        <v>32</v>
      </c>
      <c r="C16" s="12">
        <v>0</v>
      </c>
    </row>
    <row r="17" spans="1:8" x14ac:dyDescent="0.3">
      <c r="B17" s="9" t="s">
        <v>33</v>
      </c>
      <c r="C17" s="12">
        <v>0</v>
      </c>
    </row>
    <row r="18" spans="1:8" x14ac:dyDescent="0.3">
      <c r="B18" s="11" t="s">
        <v>34</v>
      </c>
      <c r="C18" s="12">
        <v>0</v>
      </c>
    </row>
    <row r="19" spans="1:8" x14ac:dyDescent="0.3">
      <c r="B19" s="9" t="s">
        <v>35</v>
      </c>
      <c r="C19" s="12">
        <v>0</v>
      </c>
    </row>
    <row r="20" spans="1:8" x14ac:dyDescent="0.3">
      <c r="B20" s="9" t="s">
        <v>36</v>
      </c>
      <c r="C20" s="12">
        <v>0</v>
      </c>
    </row>
    <row r="21" spans="1:8" x14ac:dyDescent="0.3">
      <c r="B21" s="8"/>
      <c r="C21" s="8"/>
    </row>
    <row r="22" spans="1:8" ht="22.05" customHeight="1" x14ac:dyDescent="0.3">
      <c r="A22" s="36" t="s">
        <v>37</v>
      </c>
      <c r="B22" s="29"/>
      <c r="C22" s="29"/>
      <c r="D22" s="29"/>
      <c r="E22" s="29"/>
      <c r="F22" s="29"/>
      <c r="G22" s="29"/>
      <c r="H22" s="29"/>
    </row>
    <row r="23" spans="1:8" x14ac:dyDescent="0.3">
      <c r="B23" s="8"/>
      <c r="C23" s="8"/>
    </row>
    <row r="24" spans="1:8" x14ac:dyDescent="0.3">
      <c r="B24" s="9" t="s">
        <v>38</v>
      </c>
      <c r="C24" s="13">
        <f>C5*12</f>
        <v>0</v>
      </c>
      <c r="D24" s="11" t="s">
        <v>39</v>
      </c>
      <c r="E24" s="13">
        <f>C5*12 + C7</f>
        <v>0</v>
      </c>
    </row>
    <row r="25" spans="1:8" x14ac:dyDescent="0.3">
      <c r="B25" s="11" t="s">
        <v>40</v>
      </c>
      <c r="C25" s="10">
        <v>0</v>
      </c>
      <c r="D25" s="11" t="s">
        <v>41</v>
      </c>
      <c r="E25" s="13">
        <f>C5*12 + C25</f>
        <v>0</v>
      </c>
    </row>
    <row r="27" spans="1:8" ht="22.05" customHeight="1" x14ac:dyDescent="0.3">
      <c r="A27" s="37" t="s">
        <v>42</v>
      </c>
      <c r="B27" s="32"/>
      <c r="C27" s="32"/>
      <c r="D27" s="32"/>
      <c r="E27" s="32"/>
      <c r="F27" s="32"/>
      <c r="G27" s="32"/>
      <c r="H27" s="33"/>
    </row>
    <row r="28" spans="1:8" x14ac:dyDescent="0.3">
      <c r="B28" s="8"/>
      <c r="C28" s="8"/>
      <c r="D28" s="8"/>
      <c r="E28" s="8"/>
      <c r="F28" s="8"/>
      <c r="G28" s="8"/>
      <c r="H28" s="8"/>
    </row>
    <row r="29" spans="1:8" x14ac:dyDescent="0.3">
      <c r="B29" s="9" t="s">
        <v>43</v>
      </c>
      <c r="C29" s="12">
        <v>3</v>
      </c>
      <c r="D29" s="8"/>
      <c r="E29" s="8"/>
      <c r="F29" s="8"/>
      <c r="G29" s="8"/>
      <c r="H29" s="8"/>
    </row>
    <row r="30" spans="1:8" x14ac:dyDescent="0.3">
      <c r="B30" s="9" t="s">
        <v>44</v>
      </c>
      <c r="C30" s="12">
        <v>3</v>
      </c>
      <c r="D30" s="8"/>
      <c r="E30" s="8"/>
      <c r="F30" s="8"/>
      <c r="G30" s="8"/>
      <c r="H30" s="8"/>
    </row>
    <row r="31" spans="1:8" x14ac:dyDescent="0.3">
      <c r="B31" s="11" t="s">
        <v>45</v>
      </c>
      <c r="C31" s="12">
        <v>3</v>
      </c>
    </row>
    <row r="32" spans="1:8" x14ac:dyDescent="0.3">
      <c r="B32" s="11" t="s">
        <v>46</v>
      </c>
      <c r="C32" s="12">
        <v>3</v>
      </c>
    </row>
    <row r="33" spans="1:8" x14ac:dyDescent="0.3">
      <c r="B33" s="11" t="s">
        <v>47</v>
      </c>
      <c r="C33" s="12">
        <v>3</v>
      </c>
    </row>
    <row r="35" spans="1:8" x14ac:dyDescent="0.3">
      <c r="B35" s="11" t="s">
        <v>48</v>
      </c>
      <c r="C35" s="14">
        <f>SUM(C29:C33)</f>
        <v>15</v>
      </c>
      <c r="D35" s="11" t="s">
        <v>49</v>
      </c>
      <c r="E35" s="15" t="str">
        <f>IF(C35&gt;=20,"Strong",IF(C35&gt;=15,"Moderate gaps","High risk"))</f>
        <v>Moderate gaps</v>
      </c>
    </row>
    <row r="38" spans="1:8" x14ac:dyDescent="0.3">
      <c r="A38" s="25" t="s">
        <v>50</v>
      </c>
      <c r="B38" s="26"/>
      <c r="C38" s="26"/>
      <c r="D38" s="26"/>
      <c r="E38" s="26"/>
      <c r="F38" s="26"/>
      <c r="G38" s="26"/>
      <c r="H38" s="27"/>
    </row>
    <row r="39" spans="1:8" x14ac:dyDescent="0.3">
      <c r="A39" s="28"/>
      <c r="B39" s="29"/>
      <c r="C39" s="29"/>
      <c r="D39" s="29"/>
      <c r="E39" s="29"/>
      <c r="F39" s="29"/>
      <c r="G39" s="29"/>
      <c r="H39" s="30"/>
    </row>
    <row r="40" spans="1:8" x14ac:dyDescent="0.3">
      <c r="A40" s="28"/>
      <c r="B40" s="29"/>
      <c r="C40" s="29"/>
      <c r="D40" s="29"/>
      <c r="E40" s="29"/>
      <c r="F40" s="29"/>
      <c r="G40" s="29"/>
      <c r="H40" s="30"/>
    </row>
    <row r="41" spans="1:8" x14ac:dyDescent="0.3">
      <c r="A41" s="28"/>
      <c r="B41" s="29"/>
      <c r="C41" s="29"/>
      <c r="D41" s="29"/>
      <c r="E41" s="29"/>
      <c r="F41" s="29"/>
      <c r="G41" s="29"/>
      <c r="H41" s="30"/>
    </row>
    <row r="42" spans="1:8" x14ac:dyDescent="0.3">
      <c r="A42" s="31"/>
      <c r="B42" s="32"/>
      <c r="C42" s="32"/>
      <c r="D42" s="32"/>
      <c r="E42" s="32"/>
      <c r="F42" s="32"/>
      <c r="G42" s="32"/>
      <c r="H42" s="33"/>
    </row>
  </sheetData>
  <mergeCells count="7">
    <mergeCell ref="A4:H4"/>
    <mergeCell ref="A38:H42"/>
    <mergeCell ref="A2:H2"/>
    <mergeCell ref="A11:H11"/>
    <mergeCell ref="A1:H1"/>
    <mergeCell ref="A27:H27"/>
    <mergeCell ref="A22:H22"/>
  </mergeCells>
  <conditionalFormatting sqref="E35">
    <cfRule type="cellIs" dxfId="5" priority="1" operator="equal">
      <formula>"High risk"</formula>
    </cfRule>
    <cfRule type="cellIs" dxfId="4" priority="2" operator="equal">
      <formula>"Moderate gaps"</formula>
    </cfRule>
    <cfRule type="cellIs" dxfId="3" priority="3" operator="equal">
      <formula>"Strong"</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2"/>
  <sheetViews>
    <sheetView showGridLines="0" workbookViewId="0">
      <selection sqref="A1:H1"/>
    </sheetView>
  </sheetViews>
  <sheetFormatPr defaultRowHeight="14.4" x14ac:dyDescent="0.3"/>
  <cols>
    <col min="1" max="1" width="3" customWidth="1"/>
    <col min="2" max="2" width="30" customWidth="1"/>
    <col min="3" max="3" width="22" customWidth="1"/>
    <col min="4" max="7" width="18" customWidth="1"/>
    <col min="8" max="8" width="3" customWidth="1"/>
  </cols>
  <sheetData>
    <row r="1" spans="1:8" ht="28.05" customHeight="1" x14ac:dyDescent="0.3">
      <c r="A1" s="35" t="s">
        <v>58</v>
      </c>
      <c r="B1" s="29"/>
      <c r="C1" s="29"/>
      <c r="D1" s="29"/>
      <c r="E1" s="29"/>
      <c r="F1" s="29"/>
      <c r="G1" s="29"/>
      <c r="H1" s="29"/>
    </row>
    <row r="2" spans="1:8" ht="18" customHeight="1" x14ac:dyDescent="0.3">
      <c r="A2" s="34" t="s">
        <v>14</v>
      </c>
      <c r="B2" s="29"/>
      <c r="C2" s="29"/>
      <c r="D2" s="29"/>
      <c r="E2" s="29"/>
      <c r="F2" s="29"/>
      <c r="G2" s="29"/>
      <c r="H2" s="29"/>
    </row>
    <row r="4" spans="1:8" ht="22.05" customHeight="1" x14ac:dyDescent="0.3">
      <c r="A4" s="36" t="s">
        <v>15</v>
      </c>
      <c r="B4" s="29"/>
      <c r="C4" s="29"/>
      <c r="D4" s="29"/>
      <c r="E4" s="29"/>
      <c r="F4" s="29"/>
      <c r="G4" s="29"/>
      <c r="H4" s="29"/>
    </row>
    <row r="5" spans="1:8" x14ac:dyDescent="0.3">
      <c r="B5" s="8"/>
      <c r="C5" s="8"/>
      <c r="D5" s="8" t="s">
        <v>59</v>
      </c>
      <c r="E5" s="8"/>
    </row>
    <row r="6" spans="1:8" x14ac:dyDescent="0.3">
      <c r="B6" s="9" t="s">
        <v>18</v>
      </c>
      <c r="C6" s="3" t="s">
        <v>19</v>
      </c>
      <c r="D6" s="9" t="s">
        <v>20</v>
      </c>
      <c r="E6" s="3" t="s">
        <v>19</v>
      </c>
    </row>
    <row r="7" spans="1:8" x14ac:dyDescent="0.3">
      <c r="B7" s="9" t="s">
        <v>57</v>
      </c>
      <c r="C7" s="16">
        <v>0</v>
      </c>
      <c r="D7" s="9" t="s">
        <v>22</v>
      </c>
      <c r="E7" s="16">
        <v>0</v>
      </c>
    </row>
    <row r="8" spans="1:8" x14ac:dyDescent="0.3">
      <c r="B8" s="9" t="s">
        <v>23</v>
      </c>
      <c r="C8" s="16">
        <v>0</v>
      </c>
      <c r="D8" s="9" t="s">
        <v>24</v>
      </c>
      <c r="E8" s="16">
        <v>0</v>
      </c>
    </row>
    <row r="9" spans="1:8" x14ac:dyDescent="0.3">
      <c r="B9" s="11" t="s">
        <v>25</v>
      </c>
      <c r="C9" s="16">
        <v>0</v>
      </c>
      <c r="D9" s="11" t="s">
        <v>26</v>
      </c>
      <c r="E9" s="3" t="s">
        <v>27</v>
      </c>
    </row>
    <row r="10" spans="1:8" x14ac:dyDescent="0.3">
      <c r="B10" s="8"/>
      <c r="C10" s="8"/>
    </row>
    <row r="11" spans="1:8" ht="22.05" customHeight="1" x14ac:dyDescent="0.3">
      <c r="A11" s="36" t="s">
        <v>28</v>
      </c>
      <c r="B11" s="29"/>
      <c r="C11" s="29"/>
      <c r="D11" s="29"/>
      <c r="E11" s="29"/>
      <c r="F11" s="29"/>
      <c r="G11" s="29"/>
      <c r="H11" s="29"/>
    </row>
    <row r="12" spans="1:8" x14ac:dyDescent="0.3">
      <c r="B12" s="8"/>
      <c r="C12" s="8"/>
    </row>
    <row r="13" spans="1:8" x14ac:dyDescent="0.3">
      <c r="B13" s="9" t="s">
        <v>29</v>
      </c>
      <c r="C13" s="12">
        <v>0</v>
      </c>
    </row>
    <row r="14" spans="1:8" x14ac:dyDescent="0.3">
      <c r="B14" s="9" t="s">
        <v>30</v>
      </c>
      <c r="C14" s="12">
        <v>0</v>
      </c>
      <c r="D14" s="8"/>
      <c r="E14" s="8"/>
    </row>
    <row r="15" spans="1:8" x14ac:dyDescent="0.3">
      <c r="B15" s="9" t="s">
        <v>31</v>
      </c>
      <c r="C15" s="12">
        <v>0</v>
      </c>
      <c r="D15" s="8"/>
      <c r="E15" s="8"/>
    </row>
    <row r="16" spans="1:8" x14ac:dyDescent="0.3">
      <c r="B16" s="9" t="s">
        <v>32</v>
      </c>
      <c r="C16" s="12">
        <v>0</v>
      </c>
    </row>
    <row r="17" spans="1:8" x14ac:dyDescent="0.3">
      <c r="B17" s="9" t="s">
        <v>33</v>
      </c>
      <c r="C17" s="12">
        <v>0</v>
      </c>
    </row>
    <row r="18" spans="1:8" x14ac:dyDescent="0.3">
      <c r="B18" s="11" t="s">
        <v>34</v>
      </c>
      <c r="C18" s="12">
        <v>0</v>
      </c>
    </row>
    <row r="19" spans="1:8" x14ac:dyDescent="0.3">
      <c r="B19" s="9" t="s">
        <v>35</v>
      </c>
      <c r="C19" s="12">
        <v>0</v>
      </c>
    </row>
    <row r="20" spans="1:8" x14ac:dyDescent="0.3">
      <c r="B20" s="9" t="s">
        <v>36</v>
      </c>
      <c r="C20" s="12">
        <v>0</v>
      </c>
    </row>
    <row r="21" spans="1:8" x14ac:dyDescent="0.3">
      <c r="B21" s="8"/>
      <c r="C21" s="8"/>
    </row>
    <row r="22" spans="1:8" ht="22.05" customHeight="1" x14ac:dyDescent="0.3">
      <c r="A22" s="36" t="s">
        <v>37</v>
      </c>
      <c r="B22" s="29"/>
      <c r="C22" s="29"/>
      <c r="D22" s="29"/>
      <c r="E22" s="29"/>
      <c r="F22" s="29"/>
      <c r="G22" s="29"/>
      <c r="H22" s="29"/>
    </row>
    <row r="23" spans="1:8" x14ac:dyDescent="0.3">
      <c r="B23" s="8"/>
      <c r="C23" s="8"/>
    </row>
    <row r="24" spans="1:8" x14ac:dyDescent="0.3">
      <c r="B24" s="9" t="s">
        <v>38</v>
      </c>
      <c r="C24" s="17">
        <f>C5*12</f>
        <v>0</v>
      </c>
      <c r="D24" s="11" t="s">
        <v>39</v>
      </c>
      <c r="E24" s="17">
        <f>C5*12 + C7</f>
        <v>0</v>
      </c>
    </row>
    <row r="25" spans="1:8" x14ac:dyDescent="0.3">
      <c r="B25" s="11" t="s">
        <v>40</v>
      </c>
      <c r="C25" s="16">
        <v>0</v>
      </c>
      <c r="D25" s="11" t="s">
        <v>41</v>
      </c>
      <c r="E25" s="17">
        <f>C5*12 + C25</f>
        <v>0</v>
      </c>
    </row>
    <row r="27" spans="1:8" ht="22.05" customHeight="1" x14ac:dyDescent="0.3">
      <c r="A27" s="37" t="s">
        <v>42</v>
      </c>
      <c r="B27" s="32"/>
      <c r="C27" s="32"/>
      <c r="D27" s="32"/>
      <c r="E27" s="32"/>
      <c r="F27" s="32"/>
      <c r="G27" s="32"/>
      <c r="H27" s="33"/>
    </row>
    <row r="28" spans="1:8" x14ac:dyDescent="0.3">
      <c r="B28" s="8"/>
      <c r="C28" s="8"/>
      <c r="D28" s="8"/>
      <c r="E28" s="8"/>
      <c r="F28" s="8"/>
      <c r="G28" s="8"/>
      <c r="H28" s="8"/>
    </row>
    <row r="29" spans="1:8" x14ac:dyDescent="0.3">
      <c r="B29" s="9" t="s">
        <v>43</v>
      </c>
      <c r="C29" s="12">
        <v>3</v>
      </c>
      <c r="D29" s="8"/>
      <c r="E29" s="8"/>
      <c r="F29" s="8"/>
      <c r="G29" s="8"/>
      <c r="H29" s="8"/>
    </row>
    <row r="30" spans="1:8" x14ac:dyDescent="0.3">
      <c r="B30" s="9" t="s">
        <v>44</v>
      </c>
      <c r="C30" s="12">
        <v>3</v>
      </c>
      <c r="D30" s="8"/>
      <c r="E30" s="8"/>
      <c r="F30" s="8"/>
      <c r="G30" s="8"/>
      <c r="H30" s="8"/>
    </row>
    <row r="31" spans="1:8" x14ac:dyDescent="0.3">
      <c r="B31" s="11" t="s">
        <v>45</v>
      </c>
      <c r="C31" s="12">
        <v>3</v>
      </c>
    </row>
    <row r="32" spans="1:8" x14ac:dyDescent="0.3">
      <c r="B32" s="11" t="s">
        <v>46</v>
      </c>
      <c r="C32" s="12">
        <v>3</v>
      </c>
    </row>
    <row r="33" spans="1:8" x14ac:dyDescent="0.3">
      <c r="B33" s="11" t="s">
        <v>47</v>
      </c>
      <c r="C33" s="12">
        <v>3</v>
      </c>
    </row>
    <row r="35" spans="1:8" x14ac:dyDescent="0.3">
      <c r="B35" s="11" t="s">
        <v>48</v>
      </c>
      <c r="C35" s="14">
        <f>SUM(C29:C33)</f>
        <v>15</v>
      </c>
      <c r="D35" s="11" t="s">
        <v>49</v>
      </c>
      <c r="E35" s="15" t="str">
        <f>IF(C35&gt;=20,"Strong",IF(C35&gt;=15,"Moderate gaps","High risk"))</f>
        <v>Moderate gaps</v>
      </c>
    </row>
    <row r="38" spans="1:8" x14ac:dyDescent="0.3">
      <c r="A38" s="25" t="s">
        <v>50</v>
      </c>
      <c r="B38" s="26"/>
      <c r="C38" s="26"/>
      <c r="D38" s="26"/>
      <c r="E38" s="26"/>
      <c r="F38" s="26"/>
      <c r="G38" s="26"/>
      <c r="H38" s="27"/>
    </row>
    <row r="39" spans="1:8" x14ac:dyDescent="0.3">
      <c r="A39" s="28"/>
      <c r="B39" s="29"/>
      <c r="C39" s="29"/>
      <c r="D39" s="29"/>
      <c r="E39" s="29"/>
      <c r="F39" s="29"/>
      <c r="G39" s="29"/>
      <c r="H39" s="30"/>
    </row>
    <row r="40" spans="1:8" x14ac:dyDescent="0.3">
      <c r="A40" s="28"/>
      <c r="B40" s="29"/>
      <c r="C40" s="29"/>
      <c r="D40" s="29"/>
      <c r="E40" s="29"/>
      <c r="F40" s="29"/>
      <c r="G40" s="29"/>
      <c r="H40" s="30"/>
    </row>
    <row r="41" spans="1:8" x14ac:dyDescent="0.3">
      <c r="A41" s="28"/>
      <c r="B41" s="29"/>
      <c r="C41" s="29"/>
      <c r="D41" s="29"/>
      <c r="E41" s="29"/>
      <c r="F41" s="29"/>
      <c r="G41" s="29"/>
      <c r="H41" s="30"/>
    </row>
    <row r="42" spans="1:8" x14ac:dyDescent="0.3">
      <c r="A42" s="31"/>
      <c r="B42" s="32"/>
      <c r="C42" s="32"/>
      <c r="D42" s="32"/>
      <c r="E42" s="32"/>
      <c r="F42" s="32"/>
      <c r="G42" s="32"/>
      <c r="H42" s="33"/>
    </row>
  </sheetData>
  <mergeCells count="7">
    <mergeCell ref="A4:H4"/>
    <mergeCell ref="A38:H42"/>
    <mergeCell ref="A2:H2"/>
    <mergeCell ref="A11:H11"/>
    <mergeCell ref="A1:H1"/>
    <mergeCell ref="A27:H27"/>
    <mergeCell ref="A22:H22"/>
  </mergeCells>
  <conditionalFormatting sqref="E35">
    <cfRule type="cellIs" dxfId="2" priority="1" operator="equal">
      <formula>"High risk"</formula>
    </cfRule>
    <cfRule type="cellIs" dxfId="1" priority="2" operator="equal">
      <formula>"Moderate gaps"</formula>
    </cfRule>
    <cfRule type="cellIs" dxfId="0" priority="3" operator="equal">
      <formula>"Strong"</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8"/>
  <sheetViews>
    <sheetView showGridLines="0" workbookViewId="0">
      <selection activeCell="F12" sqref="F12"/>
    </sheetView>
  </sheetViews>
  <sheetFormatPr defaultRowHeight="14.4" x14ac:dyDescent="0.3"/>
  <cols>
    <col min="1" max="1" width="3" customWidth="1"/>
    <col min="2" max="2" width="30" customWidth="1"/>
    <col min="3" max="7" width="20" customWidth="1"/>
    <col min="8" max="8" width="3" customWidth="1"/>
  </cols>
  <sheetData>
    <row r="1" spans="1:8" ht="28.05" customHeight="1" x14ac:dyDescent="0.3">
      <c r="A1" s="35" t="s">
        <v>60</v>
      </c>
      <c r="B1" s="29"/>
      <c r="C1" s="29"/>
      <c r="D1" s="29"/>
      <c r="E1" s="29"/>
      <c r="F1" s="29"/>
      <c r="G1" s="29"/>
      <c r="H1" s="29"/>
    </row>
    <row r="2" spans="1:8" ht="18" customHeight="1" x14ac:dyDescent="0.3">
      <c r="A2" s="34" t="s">
        <v>61</v>
      </c>
      <c r="B2" s="29"/>
      <c r="C2" s="29"/>
      <c r="D2" s="29"/>
      <c r="E2" s="29"/>
      <c r="F2" s="29"/>
      <c r="G2" s="29"/>
      <c r="H2" s="29"/>
    </row>
    <row r="4" spans="1:8" ht="17.399999999999999" x14ac:dyDescent="0.35">
      <c r="B4" s="4" t="s">
        <v>62</v>
      </c>
      <c r="C4" s="18" t="str">
        <f>'Start Here'!D4</f>
        <v>US</v>
      </c>
    </row>
    <row r="6" spans="1:8" ht="22.05" customHeight="1" x14ac:dyDescent="0.3">
      <c r="A6" s="36" t="s">
        <v>63</v>
      </c>
      <c r="B6" s="29"/>
      <c r="C6" s="29"/>
      <c r="D6" s="29"/>
      <c r="E6" s="29"/>
      <c r="F6" s="29"/>
      <c r="G6" s="29"/>
      <c r="H6" s="29"/>
    </row>
    <row r="8" spans="1:8" x14ac:dyDescent="0.3">
      <c r="B8" s="11" t="s">
        <v>64</v>
      </c>
      <c r="C8" s="19" t="str">
        <f>INDEX(C35:C38,MATCH('Start Here'!D4,B35:B38,0))</f>
        <v/>
      </c>
    </row>
    <row r="9" spans="1:8" x14ac:dyDescent="0.3">
      <c r="B9" s="11" t="s">
        <v>65</v>
      </c>
      <c r="C9" s="19">
        <f>INDEX(D35:D38,MATCH('Start Here'!D4,B35:B38,0))</f>
        <v>0</v>
      </c>
    </row>
    <row r="10" spans="1:8" x14ac:dyDescent="0.3">
      <c r="B10" s="11" t="s">
        <v>66</v>
      </c>
      <c r="C10" s="19">
        <f>INDEX(E35:E38,MATCH('Start Here'!D4,B35:B38,0))</f>
        <v>0</v>
      </c>
    </row>
    <row r="11" spans="1:8" x14ac:dyDescent="0.3">
      <c r="B11" s="11" t="s">
        <v>67</v>
      </c>
      <c r="C11" s="19">
        <f>INDEX(F35:F38,MATCH('Start Here'!D4,B35:B38,0))</f>
        <v>0</v>
      </c>
    </row>
    <row r="13" spans="1:8" ht="22.05" customHeight="1" x14ac:dyDescent="0.3">
      <c r="A13" s="36" t="s">
        <v>68</v>
      </c>
      <c r="B13" s="29"/>
      <c r="C13" s="29"/>
      <c r="D13" s="29"/>
      <c r="E13" s="29"/>
      <c r="F13" s="29"/>
      <c r="G13" s="29"/>
      <c r="H13" s="29"/>
    </row>
    <row r="15" spans="1:8" x14ac:dyDescent="0.3">
      <c r="B15" s="11" t="s">
        <v>69</v>
      </c>
      <c r="C15" s="14">
        <f>INDEX(G35:G38,MATCH('Start Here'!D4,B35:B38,0))</f>
        <v>0</v>
      </c>
    </row>
    <row r="16" spans="1:8" x14ac:dyDescent="0.3">
      <c r="B16" s="11" t="s">
        <v>49</v>
      </c>
      <c r="C16" s="15">
        <f>INDEX(H35:H38,MATCH('Start Here'!D4,B35:B38,0))</f>
        <v>0</v>
      </c>
    </row>
    <row r="18" spans="1:8" ht="22.05" customHeight="1" x14ac:dyDescent="0.3">
      <c r="A18" s="36" t="s">
        <v>70</v>
      </c>
      <c r="B18" s="29"/>
      <c r="C18" s="29"/>
      <c r="D18" s="29"/>
      <c r="E18" s="29"/>
      <c r="F18" s="29"/>
      <c r="G18" s="29"/>
      <c r="H18" s="29"/>
    </row>
    <row r="20" spans="1:8" x14ac:dyDescent="0.3">
      <c r="B20" s="11" t="s">
        <v>71</v>
      </c>
      <c r="C20" s="14">
        <f>INDEX(I35:I38,MATCH('Start Here'!D4,B35:B38,0))</f>
        <v>0</v>
      </c>
    </row>
    <row r="22" spans="1:8" ht="57.6" x14ac:dyDescent="0.3">
      <c r="B22" s="7" t="s">
        <v>72</v>
      </c>
      <c r="C22" s="20" t="str">
        <f>IF(C20&gt;=5,"Prioritize top 2 gaps + get quotes/options.",IF(C20&gt;=2,"Review plan details and fill gaps intentionally.","Coverage looks relatively complete; confirm limits and renewals."))</f>
        <v>Coverage looks relatively complete; confirm limits and renewals.</v>
      </c>
    </row>
    <row r="26" spans="1:8" x14ac:dyDescent="0.3">
      <c r="A26" s="25" t="s">
        <v>73</v>
      </c>
      <c r="B26" s="26"/>
      <c r="C26" s="26"/>
      <c r="D26" s="26"/>
      <c r="E26" s="26"/>
      <c r="F26" s="26"/>
      <c r="G26" s="26"/>
      <c r="H26" s="27"/>
    </row>
    <row r="27" spans="1:8" x14ac:dyDescent="0.3">
      <c r="A27" s="28"/>
      <c r="B27" s="29"/>
      <c r="C27" s="29"/>
      <c r="D27" s="29"/>
      <c r="E27" s="29"/>
      <c r="F27" s="29"/>
      <c r="G27" s="29"/>
      <c r="H27" s="30"/>
    </row>
    <row r="28" spans="1:8" x14ac:dyDescent="0.3">
      <c r="A28" s="28"/>
      <c r="B28" s="29"/>
      <c r="C28" s="29"/>
      <c r="D28" s="29"/>
      <c r="E28" s="29"/>
      <c r="F28" s="29"/>
      <c r="G28" s="29"/>
      <c r="H28" s="30"/>
    </row>
    <row r="29" spans="1:8" x14ac:dyDescent="0.3">
      <c r="A29" s="31"/>
      <c r="B29" s="32"/>
      <c r="C29" s="32"/>
      <c r="D29" s="32"/>
      <c r="E29" s="32"/>
      <c r="F29" s="32"/>
      <c r="G29" s="32"/>
      <c r="H29" s="33"/>
    </row>
    <row r="33" spans="2:9" x14ac:dyDescent="0.3">
      <c r="B33" s="7" t="s">
        <v>74</v>
      </c>
    </row>
    <row r="34" spans="2:9" x14ac:dyDescent="0.3">
      <c r="B34" s="21" t="s">
        <v>75</v>
      </c>
      <c r="C34" s="21" t="s">
        <v>64</v>
      </c>
      <c r="D34" s="21" t="s">
        <v>65</v>
      </c>
      <c r="E34" s="21" t="s">
        <v>76</v>
      </c>
      <c r="F34" s="21" t="s">
        <v>77</v>
      </c>
      <c r="G34" s="21" t="s">
        <v>78</v>
      </c>
      <c r="H34" s="21" t="s">
        <v>49</v>
      </c>
      <c r="I34" s="21" t="s">
        <v>79</v>
      </c>
    </row>
    <row r="35" spans="2:9" x14ac:dyDescent="0.3">
      <c r="B35" s="22" t="s">
        <v>4</v>
      </c>
      <c r="C35" s="23" t="str">
        <f>US!C6</f>
        <v/>
      </c>
      <c r="D35" s="23">
        <f>US!C14</f>
        <v>0</v>
      </c>
      <c r="E35" s="23">
        <f>US!E14</f>
        <v>0</v>
      </c>
      <c r="F35" s="23">
        <f>US!E15</f>
        <v>0</v>
      </c>
      <c r="G35" s="24">
        <f>US!C23</f>
        <v>0</v>
      </c>
      <c r="H35" s="24">
        <f>US!E23</f>
        <v>0</v>
      </c>
      <c r="I35" s="24">
        <f>SUM(US!C10:C17)</f>
        <v>0</v>
      </c>
    </row>
    <row r="36" spans="2:9" x14ac:dyDescent="0.3">
      <c r="B36" s="22" t="s">
        <v>80</v>
      </c>
      <c r="C36" s="23" t="str">
        <f>CAN!C6</f>
        <v/>
      </c>
      <c r="D36" s="23">
        <f>CAN!C14</f>
        <v>0</v>
      </c>
      <c r="E36" s="23">
        <f>CAN!E14</f>
        <v>0</v>
      </c>
      <c r="F36" s="23">
        <f>CAN!E15</f>
        <v>0</v>
      </c>
      <c r="G36" s="24">
        <f>CAN!C23</f>
        <v>0</v>
      </c>
      <c r="H36" s="24">
        <f>CAN!E23</f>
        <v>0</v>
      </c>
      <c r="I36" s="24">
        <f>SUM(CAN!C10:C17)</f>
        <v>0</v>
      </c>
    </row>
    <row r="37" spans="2:9" x14ac:dyDescent="0.3">
      <c r="B37" s="22" t="s">
        <v>81</v>
      </c>
      <c r="C37" s="23" t="str">
        <f>AUS!C6</f>
        <v/>
      </c>
      <c r="D37" s="23">
        <f>AUS!C14</f>
        <v>0</v>
      </c>
      <c r="E37" s="23">
        <f>AUS!E14</f>
        <v>0</v>
      </c>
      <c r="F37" s="23">
        <f>AUS!E15</f>
        <v>0</v>
      </c>
      <c r="G37" s="24">
        <f>AUS!C23</f>
        <v>0</v>
      </c>
      <c r="H37" s="24">
        <f>AUS!E23</f>
        <v>0</v>
      </c>
      <c r="I37" s="24">
        <f>SUM(AUS!C10:C17)</f>
        <v>0</v>
      </c>
    </row>
    <row r="38" spans="2:9" x14ac:dyDescent="0.3">
      <c r="B38" s="22" t="s">
        <v>82</v>
      </c>
      <c r="C38" s="23" t="str">
        <f>UK!C6</f>
        <v/>
      </c>
      <c r="D38" s="23">
        <f>UK!C14</f>
        <v>0</v>
      </c>
      <c r="E38" s="23">
        <f>UK!E14</f>
        <v>0</v>
      </c>
      <c r="F38" s="23">
        <f>UK!E15</f>
        <v>0</v>
      </c>
      <c r="G38" s="24">
        <f>UK!C23</f>
        <v>0</v>
      </c>
      <c r="H38" s="24">
        <f>UK!E23</f>
        <v>0</v>
      </c>
      <c r="I38" s="24">
        <f>SUM(UK!C10:C17)</f>
        <v>0</v>
      </c>
    </row>
  </sheetData>
  <mergeCells count="6">
    <mergeCell ref="A18:H18"/>
    <mergeCell ref="A26:H29"/>
    <mergeCell ref="A2:H2"/>
    <mergeCell ref="A13:H13"/>
    <mergeCell ref="A1:H1"/>
    <mergeCell ref="A6:H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Start Here</vt:lpstr>
      <vt:lpstr>US</vt:lpstr>
      <vt:lpstr>CAN</vt:lpstr>
      <vt:lpstr>AUS</vt:lpstr>
      <vt:lpstr>UK</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dc:creator>
  <cp:lastModifiedBy>m j</cp:lastModifiedBy>
  <dcterms:created xsi:type="dcterms:W3CDTF">2026-03-03T16:17:42Z</dcterms:created>
  <dcterms:modified xsi:type="dcterms:W3CDTF">2026-03-03T16:17:42Z</dcterms:modified>
</cp:coreProperties>
</file>