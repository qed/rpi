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Monika\Documents\"/>
    </mc:Choice>
  </mc:AlternateContent>
  <xr:revisionPtr revIDLastSave="0" documentId="8_{149F3492-572B-4A1C-A47C-891C3E9E3A81}" xr6:coauthVersionLast="47" xr6:coauthVersionMax="47" xr10:uidLastSave="{00000000-0000-0000-0000-000000000000}"/>
  <bookViews>
    <workbookView xWindow="-108" yWindow="-108" windowWidth="23256" windowHeight="12456" activeTab="3" xr2:uid="{00000000-000D-0000-FFFF-FFFF00000000}"/>
  </bookViews>
  <sheets>
    <sheet name="How to use this tool" sheetId="4" r:id="rId1"/>
    <sheet name="Income and Expense Statement" sheetId="1" r:id="rId2"/>
    <sheet name="Financing Overview" sheetId="2" r:id="rId3"/>
    <sheet name="Cash Requirements" sheetId="3" r:id="rId4"/>
  </sheets>
  <definedNames>
    <definedName name="_xlnm.Print_Area" localSheetId="3">'Cash Requirements'!$A$1:$I$28</definedName>
    <definedName name="_xlnm.Print_Area" localSheetId="2">'Financing Overview'!$A$1:$I$34</definedName>
    <definedName name="_xlnm.Print_Area" localSheetId="1">'Income and Expense Statement'!$A$1:$H$51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11" i="1" l="1"/>
  <c r="G28" i="1"/>
  <c r="C9" i="2" l="1"/>
  <c r="I9" i="3"/>
  <c r="I10" i="3"/>
  <c r="I11" i="3"/>
  <c r="I12" i="3"/>
  <c r="I13" i="3"/>
  <c r="I14" i="3"/>
  <c r="I15" i="3"/>
  <c r="I16" i="3"/>
  <c r="I17" i="3"/>
  <c r="I18" i="3"/>
  <c r="I19" i="3"/>
  <c r="I20" i="3"/>
  <c r="I21" i="3"/>
  <c r="I22" i="3"/>
  <c r="I23" i="3"/>
  <c r="I24" i="3"/>
  <c r="I25" i="3"/>
  <c r="I8" i="3"/>
  <c r="E13" i="3" l="1"/>
  <c r="G21" i="2"/>
  <c r="C17" i="2"/>
  <c r="F16" i="1"/>
  <c r="H26" i="3"/>
  <c r="E10" i="3"/>
  <c r="F23" i="2"/>
  <c r="E23" i="2"/>
  <c r="H21" i="2"/>
  <c r="B19" i="2"/>
  <c r="G17" i="2"/>
  <c r="H17" i="2" s="1"/>
  <c r="C16" i="2"/>
  <c r="C23" i="2" s="1"/>
  <c r="I9" i="2"/>
  <c r="F9" i="2" s="1"/>
  <c r="F41" i="1"/>
  <c r="G40" i="1"/>
  <c r="G39" i="1"/>
  <c r="G38" i="1"/>
  <c r="G37" i="1"/>
  <c r="G36" i="1"/>
  <c r="G35" i="1"/>
  <c r="G34" i="1"/>
  <c r="G33" i="1"/>
  <c r="G32" i="1"/>
  <c r="G31" i="1"/>
  <c r="G30" i="1"/>
  <c r="G29" i="1"/>
  <c r="G27" i="1"/>
  <c r="F15" i="1"/>
  <c r="F14" i="1"/>
  <c r="F20" i="1"/>
  <c r="H28" i="3" l="1"/>
  <c r="E18" i="3" s="1"/>
  <c r="I26" i="3"/>
  <c r="I28" i="3" s="1"/>
  <c r="G23" i="2"/>
  <c r="H23" i="2" s="1"/>
  <c r="G16" i="2"/>
  <c r="H16" i="2" s="1"/>
  <c r="H19" i="2" s="1"/>
  <c r="H24" i="2" s="1"/>
  <c r="F18" i="1"/>
  <c r="F21" i="1" s="1"/>
  <c r="E6" i="3"/>
  <c r="E14" i="3" s="1"/>
  <c r="E16" i="3" s="1"/>
  <c r="C19" i="2"/>
  <c r="G41" i="1"/>
  <c r="G19" i="2" l="1"/>
  <c r="F23" i="1"/>
  <c r="F43" i="1" s="1"/>
  <c r="F30" i="2"/>
  <c r="I17" i="2" l="1"/>
  <c r="I21" i="2"/>
  <c r="E38" i="1"/>
  <c r="E35" i="1"/>
  <c r="E20" i="3"/>
  <c r="E28" i="3" s="1"/>
  <c r="E28" i="1"/>
  <c r="E33" i="1"/>
  <c r="E36" i="1"/>
  <c r="I23" i="2"/>
  <c r="E27" i="1"/>
  <c r="E39" i="1"/>
  <c r="E30" i="1"/>
  <c r="E40" i="1"/>
  <c r="I16" i="2"/>
  <c r="E31" i="1"/>
  <c r="E41" i="1"/>
  <c r="E32" i="1"/>
  <c r="I19" i="2"/>
  <c r="E29" i="1"/>
  <c r="E37" i="1"/>
  <c r="F44" i="1"/>
  <c r="G44" i="1" s="1"/>
  <c r="E34" i="1"/>
  <c r="G43" i="1"/>
  <c r="G45" i="1" l="1"/>
  <c r="F45" i="1"/>
  <c r="E45" i="1" s="1"/>
  <c r="F48" i="1" l="1"/>
  <c r="G48" i="1" s="1"/>
  <c r="F51" i="1" l="1"/>
  <c r="H32" i="2" l="1"/>
  <c r="C10" i="2"/>
  <c r="G51" i="1"/>
  <c r="F29" i="2"/>
  <c r="H29" i="2" s="1"/>
  <c r="I32" i="2"/>
</calcChain>
</file>

<file path=xl/sharedStrings.xml><?xml version="1.0" encoding="utf-8"?>
<sst xmlns="http://schemas.openxmlformats.org/spreadsheetml/2006/main" count="132" uniqueCount="111">
  <si>
    <t>CASH REQUIREMENTS</t>
  </si>
  <si>
    <t>Operating Income</t>
  </si>
  <si>
    <t>FINANCING OVERVIEW</t>
  </si>
  <si>
    <t xml:space="preserve">Total Downpayment:  </t>
  </si>
  <si>
    <t>Asking Price:</t>
  </si>
  <si>
    <t>Closing / Acquisition Costs - Details</t>
  </si>
  <si>
    <t>Gross Income:</t>
  </si>
  <si>
    <t xml:space="preserve">1st Deposit:  </t>
  </si>
  <si>
    <t>Commercial:</t>
  </si>
  <si>
    <t>Abatment:</t>
  </si>
  <si>
    <t xml:space="preserve">Lender's Fee (1st):  </t>
  </si>
  <si>
    <t xml:space="preserve">2nd Deposit:  </t>
  </si>
  <si>
    <t xml:space="preserve">CMHC Fee (1st):  </t>
  </si>
  <si>
    <t xml:space="preserve">Abatment:  </t>
  </si>
  <si>
    <t xml:space="preserve">Lender's Fee (2nd):  </t>
  </si>
  <si>
    <t>Purchase Price:</t>
  </si>
  <si>
    <t>Price per unit:</t>
  </si>
  <si>
    <t xml:space="preserve">Discount on Closing:  </t>
  </si>
  <si>
    <t xml:space="preserve">Legal Fee Lender (2nd):  </t>
  </si>
  <si>
    <t>Estimated Property Value:</t>
  </si>
  <si>
    <t xml:space="preserve">Cash Back:  </t>
  </si>
  <si>
    <t xml:space="preserve">Mortgage Broker Application:  </t>
  </si>
  <si>
    <t>[Based on a CapRate of 10%]</t>
  </si>
  <si>
    <t xml:space="preserve">Promissory Note:  </t>
  </si>
  <si>
    <t>Residential:</t>
  </si>
  <si>
    <t>Rental</t>
  </si>
  <si>
    <t>Debt Service</t>
  </si>
  <si>
    <t xml:space="preserve">Mortgage Broker's Fee:  </t>
  </si>
  <si>
    <t>%</t>
  </si>
  <si>
    <t>Mortgage
Amount</t>
  </si>
  <si>
    <t>Term</t>
  </si>
  <si>
    <t>Amortization
Period</t>
  </si>
  <si>
    <t>Interest
Rate</t>
  </si>
  <si>
    <t>Monthly
Payment</t>
  </si>
  <si>
    <t>TOTAL</t>
  </si>
  <si>
    <t>Laundry Services</t>
  </si>
  <si>
    <t>(Month)</t>
  </si>
  <si>
    <t xml:space="preserve">Balance on Closing:  </t>
  </si>
  <si>
    <t>(Year)</t>
  </si>
  <si>
    <t>First Mortgage</t>
  </si>
  <si>
    <t xml:space="preserve">Appraisal:  </t>
  </si>
  <si>
    <t>Sub-Total Gross Income:</t>
  </si>
  <si>
    <t xml:space="preserve">Building Inspection:  </t>
  </si>
  <si>
    <t xml:space="preserve">Cash Down Required:  </t>
  </si>
  <si>
    <t xml:space="preserve">Environmental Phase 1:  </t>
  </si>
  <si>
    <t>Less:</t>
  </si>
  <si>
    <t>Vacancy / Bad Debt - Commercial</t>
  </si>
  <si>
    <t xml:space="preserve">Environmental Phase 2:  </t>
  </si>
  <si>
    <t>Vacancy / Bad Debt - Residential</t>
  </si>
  <si>
    <t xml:space="preserve">Closing / Acquisition Costs:  </t>
  </si>
  <si>
    <t>Second Mortgage</t>
  </si>
  <si>
    <t xml:space="preserve">Title Insurance:  </t>
  </si>
  <si>
    <t xml:space="preserve">Rents Pro-Rating:  </t>
  </si>
  <si>
    <t xml:space="preserve">Legal:  </t>
  </si>
  <si>
    <t xml:space="preserve">Deposit Last Month Rent:  </t>
  </si>
  <si>
    <t xml:space="preserve">Corporation:  </t>
  </si>
  <si>
    <t>Operating Expenses</t>
  </si>
  <si>
    <t>% of Revenue</t>
  </si>
  <si>
    <t>Yearly Total</t>
  </si>
  <si>
    <t>Per Unit/Month</t>
  </si>
  <si>
    <t>Taxes</t>
  </si>
  <si>
    <t xml:space="preserve">Repairs:  </t>
  </si>
  <si>
    <t>PROMISSORY NOTE</t>
  </si>
  <si>
    <t>Insurance</t>
  </si>
  <si>
    <t xml:space="preserve">Assignment Fee:  </t>
  </si>
  <si>
    <t>Water / Sewer</t>
  </si>
  <si>
    <t xml:space="preserve">Others:  </t>
  </si>
  <si>
    <t>CMHC</t>
  </si>
  <si>
    <t>Electricity</t>
  </si>
  <si>
    <t xml:space="preserve">Land Transfer Tax:  </t>
  </si>
  <si>
    <t>Gas</t>
  </si>
  <si>
    <t>Snow / Garbage</t>
  </si>
  <si>
    <t>Coverage Ratio</t>
  </si>
  <si>
    <t>Net Operating Income</t>
  </si>
  <si>
    <t>Other</t>
  </si>
  <si>
    <t>=</t>
  </si>
  <si>
    <t>Sub-Total</t>
  </si>
  <si>
    <t>Maintenance</t>
  </si>
  <si>
    <t>Management</t>
  </si>
  <si>
    <t>Street Address:</t>
  </si>
  <si>
    <t>City</t>
  </si>
  <si>
    <t>Prov/State</t>
  </si>
  <si>
    <t>PC/ZIP</t>
  </si>
  <si>
    <t>ON</t>
  </si>
  <si>
    <t>Monthly
Avg per Unit</t>
  </si>
  <si>
    <t>Number
of Units</t>
  </si>
  <si>
    <t>Other Services</t>
  </si>
  <si>
    <t>Number of Units:</t>
  </si>
  <si>
    <t>Cash Requirements</t>
  </si>
  <si>
    <t>Total Yearly Payment</t>
  </si>
  <si>
    <t>Cash Flow</t>
  </si>
  <si>
    <t>Effective Gross Income</t>
  </si>
  <si>
    <t>Total Operating Expenses</t>
  </si>
  <si>
    <t>Net Operating Income (NOI)</t>
  </si>
  <si>
    <t xml:space="preserve">Total Cash
Invested:  </t>
  </si>
  <si>
    <t>Total Closing/
Acquisition Costs</t>
  </si>
  <si>
    <t>Cash Flow Analyser Overview</t>
  </si>
  <si>
    <t>Welcome to the Real Property Investments Cash Flow Analyser tool. This tool is provided as is. While every effort has gone into making it flawless, we have left cells open that could jeopardize certain formulas resulting in you experiencing some issues. Please keep this in mind as you assess your properties.
There are several steps required to generate the Income &amp; Expense Statement, the Financial Overview and the Cash Requirements. Follow the steps provided below and you will be ready to assess your properties like a professional!</t>
  </si>
  <si>
    <r>
      <rPr>
        <b/>
        <sz val="10"/>
        <color rgb="FF000000"/>
        <rFont val="Arial"/>
        <family val="2"/>
      </rPr>
      <t>Operating Income</t>
    </r>
    <r>
      <rPr>
        <sz val="10"/>
        <color rgb="FF000000"/>
        <rFont val="Arial"/>
        <family val="2"/>
      </rPr>
      <t xml:space="preserve">
1. Populate the address
2. Enter your Gross expected income including the number of Commercial Units or Residential units there are, the expected monthly average income per unit and any services you offer.
3. Add your Vacancy/Bad Debt monthly reserve as a percentage for either the Commercial or Residential</t>
    </r>
  </si>
  <si>
    <r>
      <rPr>
        <b/>
        <sz val="10"/>
        <color rgb="FF000000"/>
        <rFont val="Arial"/>
        <family val="2"/>
      </rPr>
      <t>Operating Expenses</t>
    </r>
    <r>
      <rPr>
        <sz val="10"/>
        <color rgb="FF000000"/>
        <rFont val="Arial"/>
        <family val="2"/>
      </rPr>
      <t xml:space="preserve">
1. Complete all expenses associated with the property. There are additional Cells in case you have anything that's not listed. Place these in the "Other" rows and rename accordingly.
2. Add in a percentage for Maintenance and Management of the property.
This will generate your Net Operating Income or NOI.</t>
    </r>
  </si>
  <si>
    <t>Complete the Asking price, gross purchase price and abatement section.
Next complete your financing options. This will generate your Total Yearly Payments which is used to generate your Coverage Ratio. 
A coverage ratio divides your income or cash flow by a certain expense in order to determine financial solvency.
In general, coverage ratios equal to or greater than 1.0 indicate that you have enough earnings or cash to meet the obligation in question. Coverage ratios below 1.0 indicate that you may not be able to fulfill these obligations.</t>
  </si>
  <si>
    <r>
      <t xml:space="preserve">The </t>
    </r>
    <r>
      <rPr>
        <b/>
        <sz val="10"/>
        <color rgb="FF000000"/>
        <rFont val="Arial"/>
        <family val="2"/>
      </rPr>
      <t>Financing Overview</t>
    </r>
    <r>
      <rPr>
        <sz val="10"/>
        <color rgb="FF000000"/>
        <rFont val="Arial"/>
        <family val="2"/>
      </rPr>
      <t xml:space="preserve"> tab is next.</t>
    </r>
  </si>
  <si>
    <r>
      <t>The</t>
    </r>
    <r>
      <rPr>
        <b/>
        <sz val="10"/>
        <color rgb="FF000000"/>
        <rFont val="Arial"/>
        <family val="2"/>
      </rPr>
      <t xml:space="preserve"> Income and Expense</t>
    </r>
    <r>
      <rPr>
        <sz val="10"/>
        <color rgb="FF000000"/>
        <rFont val="Arial"/>
        <family val="2"/>
      </rPr>
      <t xml:space="preserve"> sheet is your first tab.</t>
    </r>
  </si>
  <si>
    <r>
      <t>Lastly is the</t>
    </r>
    <r>
      <rPr>
        <b/>
        <sz val="10"/>
        <color rgb="FF000000"/>
        <rFont val="Arial"/>
        <family val="2"/>
      </rPr>
      <t xml:space="preserve"> Cash Requirements</t>
    </r>
    <r>
      <rPr>
        <sz val="10"/>
        <color rgb="FF000000"/>
        <rFont val="Arial"/>
        <family val="2"/>
      </rPr>
      <t xml:space="preserve"> Tab</t>
    </r>
  </si>
  <si>
    <t>Income and Expense Statement</t>
  </si>
  <si>
    <t>Financing Overview</t>
  </si>
  <si>
    <t>In this tab you will enter in your Cash Requirements and fees.The spreadhseet will generate your Total Cash invested and the Total Closing Costs.</t>
  </si>
  <si>
    <t>You now have an overview of the property and an overview of all expenses vs income generating a snapshot of the property and if you are cashflow positive or not.</t>
  </si>
  <si>
    <t>Overheresville</t>
  </si>
  <si>
    <t>H0H 0H0</t>
  </si>
  <si>
    <t>123 Anywhere Ave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</si>
</sst>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Red]\-&quot;$&quot;#,##0.00"/>
    <numFmt numFmtId="164" formatCode="_(&quot;$&quot;* #,##0_);_(&quot;$&quot;* \(#,##0\);_(&quot;$&quot;* &quot;-&quot;_);_(@_)"/>
    <numFmt numFmtId="165" formatCode="0.0%"/>
    <numFmt numFmtId="166" formatCode="_(&quot;$&quot;* #,##0.00_);_(&quot;$&quot;* \(#,##0.00\);_(&quot;$&quot;* &quot;-&quot;??_);_(@_)"/>
    <numFmt numFmtId="167" formatCode="&quot;$&quot;#,##0.00_);[Red]\(&quot;$&quot;#,##0.00\)"/>
    <numFmt numFmtId="168" formatCode="&quot;$&quot;#,##0.00"/>
    <numFmt numFmtId="169" formatCode="&quot;$&quot;#,##0"/>
  </numFmts>
  <fonts count="17" x14ac:knownFonts="1">
    <font>
      <sz val="10"/>
      <color rgb="FF000000"/>
      <name val="Arial"/>
    </font>
    <font>
      <sz val="10"/>
      <color rgb="FF000000"/>
      <name val="Arial"/>
      <family val="2"/>
    </font>
    <font>
      <b/>
      <sz val="18"/>
      <color theme="1"/>
      <name val="Montserrat"/>
    </font>
    <font>
      <sz val="10"/>
      <color rgb="FF000000"/>
      <name val="Montserrat"/>
    </font>
    <font>
      <sz val="10"/>
      <name val="Montserrat"/>
    </font>
    <font>
      <sz val="10"/>
      <color theme="1"/>
      <name val="Montserrat"/>
    </font>
    <font>
      <b/>
      <sz val="14"/>
      <color theme="1"/>
      <name val="Montserrat"/>
    </font>
    <font>
      <b/>
      <sz val="10"/>
      <color theme="1"/>
      <name val="Montserrat"/>
    </font>
    <font>
      <b/>
      <sz val="9"/>
      <color theme="1"/>
      <name val="Montserrat"/>
    </font>
    <font>
      <sz val="8"/>
      <color theme="1"/>
      <name val="Montserrat"/>
    </font>
    <font>
      <sz val="7"/>
      <color theme="1"/>
      <name val="Montserrat"/>
    </font>
    <font>
      <b/>
      <sz val="12"/>
      <color theme="1"/>
      <name val="Montserrat"/>
    </font>
    <font>
      <sz val="12"/>
      <color theme="1"/>
      <name val="Montserrat"/>
    </font>
    <font>
      <b/>
      <sz val="12"/>
      <color rgb="FF000000"/>
      <name val="Montserrat"/>
    </font>
    <font>
      <sz val="10"/>
      <color rgb="FF000000"/>
      <name val="Arial"/>
      <family val="2"/>
    </font>
    <font>
      <b/>
      <sz val="10"/>
      <color rgb="FF000000"/>
      <name val="Arial"/>
      <family val="2"/>
    </font>
    <font>
      <b/>
      <sz val="22"/>
      <name val="Montserrat"/>
    </font>
  </fonts>
  <fills count="7">
    <fill>
      <patternFill patternType="none"/>
    </fill>
    <fill>
      <patternFill patternType="gray125"/>
    </fill>
    <fill>
      <patternFill patternType="solid">
        <fgColor rgb="FFFFC000"/>
        <bgColor rgb="FFCFE2F3"/>
      </patternFill>
    </fill>
    <fill>
      <patternFill patternType="solid">
        <fgColor rgb="FFFFC000"/>
        <bgColor rgb="FFC9DAF8"/>
      </patternFill>
    </fill>
    <fill>
      <patternFill patternType="solid">
        <fgColor rgb="FFFFC000"/>
        <bgColor indexed="64"/>
      </patternFill>
    </fill>
    <fill>
      <patternFill patternType="solid">
        <fgColor rgb="FFFF0000"/>
        <bgColor indexed="64"/>
      </patternFill>
    </fill>
    <fill>
      <patternFill patternType="solid">
        <fgColor theme="6" tint="0.79998168889431442"/>
        <bgColor indexed="64"/>
      </patternFill>
    </fill>
  </fills>
  <borders count="17">
    <border>
      <left/>
      <right/>
      <top/>
      <bottom/>
      <diagonal/>
    </border>
    <border>
      <left/>
      <right/>
      <top/>
      <bottom style="thin">
        <color rgb="FF000000"/>
      </bottom>
      <diagonal/>
    </border>
    <border>
      <left/>
      <right/>
      <top/>
      <bottom/>
      <diagonal/>
    </border>
    <border>
      <left/>
      <right/>
      <top/>
      <bottom/>
      <diagonal/>
    </border>
    <border>
      <left/>
      <right/>
      <top/>
      <bottom/>
      <diagonal/>
    </border>
    <border>
      <left/>
      <right/>
      <top/>
      <bottom style="thin">
        <color rgb="FF000000"/>
      </bottom>
      <diagonal/>
    </border>
    <border>
      <left/>
      <right/>
      <top/>
      <bottom style="medium">
        <color rgb="FF000000"/>
      </bottom>
      <diagonal/>
    </border>
    <border>
      <left/>
      <right/>
      <top/>
      <bottom style="medium">
        <color rgb="FF000000"/>
      </bottom>
      <diagonal/>
    </border>
    <border>
      <left/>
      <right/>
      <top/>
      <bottom style="double">
        <color rgb="FF000000"/>
      </bottom>
      <diagonal/>
    </border>
    <border>
      <left/>
      <right/>
      <top/>
      <bottom style="double">
        <color rgb="FF000000"/>
      </bottom>
      <diagonal/>
    </border>
    <border>
      <left/>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rgb="FF000000"/>
      </top>
      <bottom style="double">
        <color rgb="FF000000"/>
      </bottom>
      <diagonal/>
    </border>
    <border>
      <left/>
      <right/>
      <top style="thin">
        <color rgb="FF000000"/>
      </top>
      <bottom/>
      <diagonal/>
    </border>
  </borders>
  <cellStyleXfs count="2">
    <xf numFmtId="0" fontId="0" fillId="0" borderId="0"/>
    <xf numFmtId="9" fontId="1" fillId="0" borderId="0" applyFont="0" applyFill="0" applyBorder="0" applyAlignment="0" applyProtection="0"/>
  </cellStyleXfs>
  <cellXfs count="145">
    <xf numFmtId="0" fontId="0" fillId="0" borderId="0" xfId="0"/>
    <xf numFmtId="0" fontId="3" fillId="0" borderId="0" xfId="0" applyFont="1"/>
    <xf numFmtId="0" fontId="4" fillId="0" borderId="4" xfId="0" applyFont="1" applyBorder="1" applyAlignment="1">
      <alignment vertical="center"/>
    </xf>
    <xf numFmtId="0" fontId="3" fillId="0" borderId="0" xfId="0" applyFont="1" applyAlignment="1">
      <alignment vertical="center"/>
    </xf>
    <xf numFmtId="0" fontId="3" fillId="0" borderId="4" xfId="0" applyFont="1" applyBorder="1" applyAlignment="1">
      <alignment vertical="center"/>
    </xf>
    <xf numFmtId="0" fontId="5" fillId="0" borderId="0" xfId="0" applyFont="1" applyAlignment="1">
      <alignment vertical="center"/>
    </xf>
    <xf numFmtId="0" fontId="6" fillId="0" borderId="0" xfId="0" applyFont="1" applyAlignment="1">
      <alignment vertical="center"/>
    </xf>
    <xf numFmtId="0" fontId="5" fillId="0" borderId="2" xfId="0" applyFont="1" applyBorder="1" applyAlignment="1">
      <alignment vertical="center"/>
    </xf>
    <xf numFmtId="0" fontId="7" fillId="0" borderId="0" xfId="0" applyFont="1" applyAlignment="1">
      <alignment horizontal="right" vertical="center"/>
    </xf>
    <xf numFmtId="0" fontId="8" fillId="0" borderId="0" xfId="0" applyFont="1" applyAlignment="1">
      <alignment horizontal="center" vertical="center" wrapText="1"/>
    </xf>
    <xf numFmtId="0" fontId="7" fillId="0" borderId="0" xfId="0" applyFont="1" applyAlignment="1">
      <alignment vertical="center"/>
    </xf>
    <xf numFmtId="0" fontId="5" fillId="0" borderId="0" xfId="0" applyFont="1" applyAlignment="1">
      <alignment horizontal="right" vertical="center"/>
    </xf>
    <xf numFmtId="164" fontId="5" fillId="0" borderId="0" xfId="0" applyNumberFormat="1" applyFont="1" applyAlignment="1">
      <alignment horizontal="right" vertical="center"/>
    </xf>
    <xf numFmtId="9" fontId="5" fillId="0" borderId="0" xfId="0" applyNumberFormat="1" applyFont="1" applyAlignment="1">
      <alignment vertical="center"/>
    </xf>
    <xf numFmtId="0" fontId="5" fillId="0" borderId="3" xfId="0" applyFont="1" applyBorder="1" applyAlignment="1">
      <alignment vertical="center"/>
    </xf>
    <xf numFmtId="0" fontId="5" fillId="0" borderId="1" xfId="0" applyFont="1" applyBorder="1" applyAlignment="1">
      <alignment vertical="center"/>
    </xf>
    <xf numFmtId="164" fontId="5" fillId="0" borderId="1" xfId="0" applyNumberFormat="1" applyFont="1" applyBorder="1" applyAlignment="1">
      <alignment vertical="center"/>
    </xf>
    <xf numFmtId="0" fontId="5" fillId="0" borderId="5" xfId="0" applyFont="1" applyBorder="1" applyAlignment="1">
      <alignment vertical="center"/>
    </xf>
    <xf numFmtId="0" fontId="7" fillId="0" borderId="1" xfId="0" applyFont="1" applyBorder="1" applyAlignment="1">
      <alignment horizontal="right" vertical="center"/>
    </xf>
    <xf numFmtId="164" fontId="7" fillId="0" borderId="1" xfId="0" applyNumberFormat="1" applyFont="1" applyBorder="1" applyAlignment="1">
      <alignment horizontal="right" vertical="center"/>
    </xf>
    <xf numFmtId="164" fontId="5" fillId="0" borderId="0" xfId="0" applyNumberFormat="1" applyFont="1" applyAlignment="1">
      <alignment vertical="center"/>
    </xf>
    <xf numFmtId="0" fontId="7" fillId="0" borderId="1" xfId="0" applyFont="1" applyBorder="1" applyAlignment="1">
      <alignment horizontal="center" vertical="center"/>
    </xf>
    <xf numFmtId="0" fontId="8" fillId="0" borderId="1" xfId="0" applyFont="1" applyBorder="1" applyAlignment="1">
      <alignment horizontal="center" vertical="center"/>
    </xf>
    <xf numFmtId="165" fontId="5" fillId="0" borderId="5" xfId="0" applyNumberFormat="1" applyFont="1" applyBorder="1" applyAlignment="1">
      <alignment horizontal="center" vertical="center"/>
    </xf>
    <xf numFmtId="0" fontId="7" fillId="0" borderId="9" xfId="0" applyFont="1" applyBorder="1" applyAlignment="1">
      <alignment vertical="center"/>
    </xf>
    <xf numFmtId="0" fontId="5" fillId="0" borderId="9" xfId="0" applyFont="1" applyBorder="1" applyAlignment="1">
      <alignment vertical="center"/>
    </xf>
    <xf numFmtId="165" fontId="5" fillId="0" borderId="9" xfId="0" applyNumberFormat="1" applyFont="1" applyBorder="1" applyAlignment="1">
      <alignment horizontal="center" vertical="center"/>
    </xf>
    <xf numFmtId="165" fontId="5" fillId="0" borderId="2" xfId="0" applyNumberFormat="1" applyFont="1" applyBorder="1" applyAlignment="1">
      <alignment vertical="center"/>
    </xf>
    <xf numFmtId="166" fontId="5" fillId="0" borderId="0" xfId="0" applyNumberFormat="1" applyFont="1" applyAlignment="1">
      <alignment vertical="center"/>
    </xf>
    <xf numFmtId="166" fontId="7" fillId="0" borderId="1" xfId="0" applyNumberFormat="1" applyFont="1" applyBorder="1" applyAlignment="1">
      <alignment horizontal="right" vertical="center"/>
    </xf>
    <xf numFmtId="165" fontId="7" fillId="0" borderId="9" xfId="0" applyNumberFormat="1" applyFont="1" applyBorder="1" applyAlignment="1">
      <alignment horizontal="center" vertical="center"/>
    </xf>
    <xf numFmtId="165" fontId="5" fillId="0" borderId="0" xfId="0" applyNumberFormat="1" applyFont="1" applyAlignment="1">
      <alignment vertical="center"/>
    </xf>
    <xf numFmtId="164" fontId="5" fillId="0" borderId="1" xfId="0" applyNumberFormat="1" applyFont="1" applyBorder="1" applyAlignment="1">
      <alignment horizontal="right" vertical="center"/>
    </xf>
    <xf numFmtId="165" fontId="5" fillId="0" borderId="1" xfId="0" applyNumberFormat="1" applyFont="1" applyBorder="1" applyAlignment="1">
      <alignment horizontal="center" vertical="center"/>
    </xf>
    <xf numFmtId="164" fontId="7" fillId="0" borderId="0" xfId="0" applyNumberFormat="1" applyFont="1" applyAlignment="1">
      <alignment horizontal="right" vertical="center"/>
    </xf>
    <xf numFmtId="165" fontId="7" fillId="0" borderId="0" xfId="0" applyNumberFormat="1" applyFont="1" applyAlignment="1">
      <alignment horizontal="center" vertical="center"/>
    </xf>
    <xf numFmtId="164" fontId="5" fillId="0" borderId="5" xfId="0" applyNumberFormat="1" applyFont="1" applyBorder="1" applyAlignment="1">
      <alignment vertical="center"/>
    </xf>
    <xf numFmtId="168" fontId="5" fillId="0" borderId="9" xfId="0" applyNumberFormat="1" applyFont="1" applyBorder="1" applyAlignment="1">
      <alignment horizontal="right" vertical="center"/>
    </xf>
    <xf numFmtId="169" fontId="5" fillId="0" borderId="9" xfId="0" applyNumberFormat="1" applyFont="1" applyBorder="1" applyAlignment="1">
      <alignment horizontal="right" vertical="center"/>
    </xf>
    <xf numFmtId="168" fontId="5" fillId="0" borderId="1" xfId="0" applyNumberFormat="1" applyFont="1" applyBorder="1" applyAlignment="1">
      <alignment horizontal="right" vertical="center"/>
    </xf>
    <xf numFmtId="168" fontId="5" fillId="0" borderId="0" xfId="0" applyNumberFormat="1" applyFont="1" applyAlignment="1">
      <alignment horizontal="right" vertical="center"/>
    </xf>
    <xf numFmtId="168" fontId="7" fillId="0" borderId="1" xfId="0" applyNumberFormat="1" applyFont="1" applyBorder="1" applyAlignment="1">
      <alignment horizontal="right" vertical="center"/>
    </xf>
    <xf numFmtId="8" fontId="5" fillId="0" borderId="0" xfId="0" applyNumberFormat="1" applyFont="1" applyAlignment="1">
      <alignment horizontal="right" vertical="center"/>
    </xf>
    <xf numFmtId="168" fontId="7" fillId="0" borderId="1" xfId="0" applyNumberFormat="1" applyFont="1" applyBorder="1" applyAlignment="1">
      <alignment vertical="center"/>
    </xf>
    <xf numFmtId="168" fontId="7" fillId="0" borderId="9" xfId="0" applyNumberFormat="1" applyFont="1" applyBorder="1" applyAlignment="1">
      <alignment horizontal="right" vertical="center"/>
    </xf>
    <xf numFmtId="0" fontId="5" fillId="0" borderId="4" xfId="0" applyFont="1" applyBorder="1"/>
    <xf numFmtId="0" fontId="5" fillId="0" borderId="0" xfId="0" applyFont="1"/>
    <xf numFmtId="0" fontId="7" fillId="0" borderId="3" xfId="0" applyFont="1" applyBorder="1" applyAlignment="1">
      <alignment horizontal="right" vertical="center"/>
    </xf>
    <xf numFmtId="38" fontId="5" fillId="0" borderId="0" xfId="0" applyNumberFormat="1" applyFont="1" applyAlignment="1">
      <alignment vertical="center"/>
    </xf>
    <xf numFmtId="165" fontId="5" fillId="5" borderId="0" xfId="1" applyNumberFormat="1" applyFont="1" applyFill="1" applyAlignment="1">
      <alignment horizontal="right" vertical="center"/>
    </xf>
    <xf numFmtId="0" fontId="9" fillId="0" borderId="0" xfId="0" applyFont="1" applyAlignment="1">
      <alignment horizontal="right" vertical="center"/>
    </xf>
    <xf numFmtId="0" fontId="7" fillId="0" borderId="1" xfId="0" applyFont="1" applyBorder="1" applyAlignment="1">
      <alignment vertical="center"/>
    </xf>
    <xf numFmtId="0" fontId="7" fillId="0" borderId="1" xfId="0" applyFont="1" applyBorder="1" applyAlignment="1">
      <alignment horizontal="center" vertical="center" wrapText="1"/>
    </xf>
    <xf numFmtId="0" fontId="10" fillId="0" borderId="0" xfId="0" applyFont="1" applyAlignment="1">
      <alignment horizontal="center" vertical="center"/>
    </xf>
    <xf numFmtId="164" fontId="5" fillId="0" borderId="3" xfId="0" applyNumberFormat="1" applyFont="1" applyBorder="1" applyAlignment="1">
      <alignment horizontal="center" vertical="center"/>
    </xf>
    <xf numFmtId="166" fontId="5" fillId="0" borderId="0" xfId="0" applyNumberFormat="1" applyFont="1" applyAlignment="1">
      <alignment horizontal="center" vertical="center"/>
    </xf>
    <xf numFmtId="10" fontId="5" fillId="0" borderId="0" xfId="0" applyNumberFormat="1" applyFont="1" applyAlignment="1">
      <alignment horizontal="center" vertical="center"/>
    </xf>
    <xf numFmtId="165" fontId="5" fillId="0" borderId="1" xfId="0" applyNumberFormat="1" applyFont="1" applyBorder="1" applyAlignment="1">
      <alignment vertical="center"/>
    </xf>
    <xf numFmtId="164" fontId="5" fillId="0" borderId="1" xfId="0" applyNumberFormat="1" applyFont="1" applyBorder="1" applyAlignment="1">
      <alignment horizontal="center" vertical="center"/>
    </xf>
    <xf numFmtId="38" fontId="5" fillId="0" borderId="1" xfId="0" applyNumberFormat="1" applyFont="1" applyBorder="1" applyAlignment="1">
      <alignment vertical="center"/>
    </xf>
    <xf numFmtId="10" fontId="5" fillId="0" borderId="1" xfId="0" applyNumberFormat="1" applyFont="1" applyBorder="1" applyAlignment="1">
      <alignment vertical="center"/>
    </xf>
    <xf numFmtId="40" fontId="5" fillId="0" borderId="1" xfId="0" applyNumberFormat="1" applyFont="1" applyBorder="1" applyAlignment="1">
      <alignment vertical="center"/>
    </xf>
    <xf numFmtId="40" fontId="5" fillId="0" borderId="1" xfId="0" applyNumberFormat="1" applyFont="1" applyBorder="1" applyAlignment="1">
      <alignment horizontal="center" vertical="center"/>
    </xf>
    <xf numFmtId="166" fontId="5" fillId="0" borderId="1" xfId="0" applyNumberFormat="1" applyFont="1" applyBorder="1" applyAlignment="1">
      <alignment horizontal="center" vertical="center"/>
    </xf>
    <xf numFmtId="164" fontId="5" fillId="0" borderId="0" xfId="0" applyNumberFormat="1" applyFont="1" applyAlignment="1">
      <alignment horizontal="center" vertical="center"/>
    </xf>
    <xf numFmtId="40" fontId="5" fillId="0" borderId="0" xfId="0" applyNumberFormat="1" applyFont="1" applyAlignment="1">
      <alignment vertical="center"/>
    </xf>
    <xf numFmtId="0" fontId="7" fillId="0" borderId="3" xfId="0" applyFont="1" applyBorder="1" applyAlignment="1">
      <alignment vertical="center"/>
    </xf>
    <xf numFmtId="0" fontId="5" fillId="0" borderId="3" xfId="0" applyFont="1" applyBorder="1" applyAlignment="1">
      <alignment horizontal="right" vertical="center"/>
    </xf>
    <xf numFmtId="167" fontId="5" fillId="0" borderId="0" xfId="0" applyNumberFormat="1" applyFont="1" applyAlignment="1">
      <alignment vertical="center"/>
    </xf>
    <xf numFmtId="0" fontId="5" fillId="0" borderId="8" xfId="0" applyFont="1" applyBorder="1" applyAlignment="1">
      <alignment vertical="center"/>
    </xf>
    <xf numFmtId="168" fontId="5" fillId="0" borderId="2" xfId="0" applyNumberFormat="1" applyFont="1" applyBorder="1" applyAlignment="1">
      <alignment horizontal="right" vertical="center"/>
    </xf>
    <xf numFmtId="168" fontId="5" fillId="0" borderId="2" xfId="0" applyNumberFormat="1" applyFont="1" applyBorder="1" applyAlignment="1">
      <alignment vertical="center"/>
    </xf>
    <xf numFmtId="168" fontId="5" fillId="0" borderId="0" xfId="0" applyNumberFormat="1" applyFont="1" applyAlignment="1">
      <alignment vertical="center"/>
    </xf>
    <xf numFmtId="168" fontId="5" fillId="0" borderId="1" xfId="0" applyNumberFormat="1" applyFont="1" applyBorder="1" applyAlignment="1">
      <alignment vertical="center"/>
    </xf>
    <xf numFmtId="165" fontId="5" fillId="0" borderId="0" xfId="0" applyNumberFormat="1" applyFont="1" applyAlignment="1">
      <alignment horizontal="center" vertical="center"/>
    </xf>
    <xf numFmtId="0" fontId="5" fillId="0" borderId="4" xfId="0" applyFont="1" applyBorder="1" applyAlignment="1">
      <alignment vertical="center"/>
    </xf>
    <xf numFmtId="164" fontId="5" fillId="0" borderId="4" xfId="0" applyNumberFormat="1" applyFont="1" applyBorder="1" applyAlignment="1">
      <alignment horizontal="right" vertical="center"/>
    </xf>
    <xf numFmtId="38" fontId="5" fillId="0" borderId="4" xfId="0" applyNumberFormat="1" applyFont="1" applyBorder="1" applyAlignment="1">
      <alignment vertical="center"/>
    </xf>
    <xf numFmtId="40" fontId="5" fillId="0" borderId="4" xfId="0" applyNumberFormat="1" applyFont="1" applyBorder="1" applyAlignment="1">
      <alignment horizontal="center" vertical="center"/>
    </xf>
    <xf numFmtId="166" fontId="5" fillId="0" borderId="4" xfId="0" applyNumberFormat="1" applyFont="1" applyBorder="1" applyAlignment="1">
      <alignment horizontal="center" vertical="center"/>
    </xf>
    <xf numFmtId="165" fontId="5" fillId="0" borderId="4" xfId="0" applyNumberFormat="1" applyFont="1" applyBorder="1" applyAlignment="1">
      <alignment horizontal="center" vertical="center"/>
    </xf>
    <xf numFmtId="165" fontId="5" fillId="0" borderId="4" xfId="0" applyNumberFormat="1" applyFont="1" applyBorder="1" applyAlignment="1">
      <alignment vertical="center"/>
    </xf>
    <xf numFmtId="164" fontId="11" fillId="0" borderId="10" xfId="0" applyNumberFormat="1" applyFont="1" applyBorder="1" applyAlignment="1">
      <alignment horizontal="right" vertical="center"/>
    </xf>
    <xf numFmtId="165" fontId="11" fillId="0" borderId="10" xfId="0" applyNumberFormat="1" applyFont="1" applyBorder="1" applyAlignment="1">
      <alignment horizontal="center" vertical="center"/>
    </xf>
    <xf numFmtId="164" fontId="11" fillId="0" borderId="7" xfId="0" applyNumberFormat="1" applyFont="1" applyBorder="1" applyAlignment="1">
      <alignment horizontal="right" vertical="center"/>
    </xf>
    <xf numFmtId="165" fontId="11" fillId="0" borderId="7" xfId="0" applyNumberFormat="1" applyFont="1" applyBorder="1" applyAlignment="1">
      <alignment horizontal="center" vertical="center"/>
    </xf>
    <xf numFmtId="168" fontId="11" fillId="0" borderId="7" xfId="0" applyNumberFormat="1" applyFont="1" applyBorder="1" applyAlignment="1">
      <alignment horizontal="right" vertical="center"/>
    </xf>
    <xf numFmtId="0" fontId="11" fillId="0" borderId="6" xfId="0" applyFont="1" applyBorder="1" applyAlignment="1">
      <alignment vertical="center"/>
    </xf>
    <xf numFmtId="0" fontId="11" fillId="0" borderId="7" xfId="0" applyFont="1" applyBorder="1" applyAlignment="1">
      <alignment vertical="center"/>
    </xf>
    <xf numFmtId="0" fontId="12" fillId="0" borderId="7" xfId="0" applyFont="1" applyBorder="1" applyAlignment="1">
      <alignment vertical="center"/>
    </xf>
    <xf numFmtId="0" fontId="11" fillId="0" borderId="4" xfId="0" applyFont="1" applyBorder="1" applyAlignment="1">
      <alignment vertical="center"/>
    </xf>
    <xf numFmtId="0" fontId="12" fillId="0" borderId="4" xfId="0" applyFont="1" applyBorder="1" applyAlignment="1">
      <alignment vertical="center"/>
    </xf>
    <xf numFmtId="164" fontId="11" fillId="0" borderId="4" xfId="0" applyNumberFormat="1" applyFont="1" applyBorder="1" applyAlignment="1">
      <alignment horizontal="right" vertical="center"/>
    </xf>
    <xf numFmtId="165" fontId="11" fillId="0" borderId="4" xfId="0" applyNumberFormat="1" applyFont="1" applyBorder="1" applyAlignment="1">
      <alignment horizontal="center" vertical="center"/>
    </xf>
    <xf numFmtId="9" fontId="13" fillId="0" borderId="0" xfId="1" applyFont="1" applyAlignment="1"/>
    <xf numFmtId="168" fontId="11" fillId="0" borderId="9" xfId="0" applyNumberFormat="1" applyFont="1" applyBorder="1" applyAlignment="1">
      <alignment horizontal="right" vertical="center"/>
    </xf>
    <xf numFmtId="165" fontId="11" fillId="0" borderId="9" xfId="0" applyNumberFormat="1" applyFont="1" applyBorder="1" applyAlignment="1">
      <alignment horizontal="center" vertical="center"/>
    </xf>
    <xf numFmtId="0" fontId="11" fillId="0" borderId="15" xfId="0" applyFont="1" applyBorder="1" applyAlignment="1">
      <alignment horizontal="right" vertical="center" wrapText="1"/>
    </xf>
    <xf numFmtId="0" fontId="13" fillId="0" borderId="4" xfId="0" applyFont="1" applyBorder="1"/>
    <xf numFmtId="0" fontId="5" fillId="2" borderId="12" xfId="0" applyFont="1" applyFill="1" applyBorder="1" applyAlignment="1" applyProtection="1">
      <alignment vertical="center"/>
      <protection locked="0"/>
    </xf>
    <xf numFmtId="0" fontId="5" fillId="2" borderId="13" xfId="0" applyFont="1" applyFill="1" applyBorder="1" applyAlignment="1" applyProtection="1">
      <alignment vertical="center"/>
      <protection locked="0"/>
    </xf>
    <xf numFmtId="0" fontId="5" fillId="2" borderId="14" xfId="0" applyFont="1" applyFill="1" applyBorder="1" applyAlignment="1" applyProtection="1">
      <alignment vertical="center"/>
      <protection locked="0"/>
    </xf>
    <xf numFmtId="0" fontId="5" fillId="3" borderId="11" xfId="0" applyFont="1" applyFill="1" applyBorder="1" applyAlignment="1" applyProtection="1">
      <alignment horizontal="center" vertical="center"/>
      <protection locked="0"/>
    </xf>
    <xf numFmtId="169" fontId="5" fillId="3" borderId="11" xfId="0" applyNumberFormat="1" applyFont="1" applyFill="1" applyBorder="1" applyAlignment="1" applyProtection="1">
      <alignment horizontal="center" vertical="center"/>
      <protection locked="0"/>
    </xf>
    <xf numFmtId="10" fontId="5" fillId="3" borderId="11" xfId="0" applyNumberFormat="1" applyFont="1" applyFill="1" applyBorder="1" applyAlignment="1" applyProtection="1">
      <alignment horizontal="right" vertical="center"/>
      <protection locked="0"/>
    </xf>
    <xf numFmtId="165" fontId="5" fillId="3" borderId="11" xfId="0" applyNumberFormat="1" applyFont="1" applyFill="1" applyBorder="1" applyAlignment="1" applyProtection="1">
      <alignment horizontal="center" vertical="center"/>
      <protection locked="0"/>
    </xf>
    <xf numFmtId="164" fontId="5" fillId="3" borderId="11" xfId="0" applyNumberFormat="1" applyFont="1" applyFill="1" applyBorder="1" applyAlignment="1" applyProtection="1">
      <alignment horizontal="right" vertical="center"/>
      <protection locked="0"/>
    </xf>
    <xf numFmtId="38" fontId="5" fillId="3" borderId="11" xfId="0" applyNumberFormat="1" applyFont="1" applyFill="1" applyBorder="1" applyAlignment="1" applyProtection="1">
      <alignment horizontal="center" vertical="center"/>
      <protection locked="0"/>
    </xf>
    <xf numFmtId="40" fontId="5" fillId="3" borderId="11" xfId="0" applyNumberFormat="1" applyFont="1" applyFill="1" applyBorder="1" applyAlignment="1" applyProtection="1">
      <alignment horizontal="center" vertical="center"/>
      <protection locked="0"/>
    </xf>
    <xf numFmtId="165" fontId="5" fillId="4" borderId="5" xfId="0" applyNumberFormat="1" applyFont="1" applyFill="1" applyBorder="1" applyAlignment="1" applyProtection="1">
      <alignment horizontal="center" vertical="center"/>
      <protection locked="0"/>
    </xf>
    <xf numFmtId="164" fontId="5" fillId="3" borderId="5" xfId="0" applyNumberFormat="1" applyFont="1" applyFill="1" applyBorder="1" applyAlignment="1" applyProtection="1">
      <alignment horizontal="center" vertical="center"/>
      <protection locked="0"/>
    </xf>
    <xf numFmtId="38" fontId="5" fillId="3" borderId="5" xfId="0" applyNumberFormat="1" applyFont="1" applyFill="1" applyBorder="1" applyAlignment="1" applyProtection="1">
      <alignment vertical="center"/>
      <protection locked="0"/>
    </xf>
    <xf numFmtId="40" fontId="5" fillId="3" borderId="5" xfId="0" applyNumberFormat="1" applyFont="1" applyFill="1" applyBorder="1" applyAlignment="1" applyProtection="1">
      <alignment horizontal="center" vertical="center"/>
      <protection locked="0"/>
    </xf>
    <xf numFmtId="168" fontId="5" fillId="3" borderId="4" xfId="0" applyNumberFormat="1" applyFont="1" applyFill="1" applyBorder="1" applyAlignment="1" applyProtection="1">
      <alignment vertical="center"/>
      <protection locked="0"/>
    </xf>
    <xf numFmtId="168" fontId="5" fillId="3" borderId="4" xfId="0" applyNumberFormat="1" applyFont="1" applyFill="1" applyBorder="1" applyAlignment="1" applyProtection="1">
      <alignment horizontal="right" vertical="center"/>
      <protection locked="0"/>
    </xf>
    <xf numFmtId="168" fontId="5" fillId="0" borderId="2" xfId="0" applyNumberFormat="1" applyFont="1" applyBorder="1" applyAlignment="1" applyProtection="1">
      <alignment horizontal="right" vertical="center"/>
      <protection locked="0"/>
    </xf>
    <xf numFmtId="0" fontId="16" fillId="0" borderId="4" xfId="0" applyFont="1" applyBorder="1" applyAlignment="1">
      <alignment vertical="center"/>
    </xf>
    <xf numFmtId="0" fontId="16" fillId="0" borderId="4" xfId="0" applyFont="1" applyBorder="1" applyAlignment="1">
      <alignment horizontal="center" vertical="center"/>
    </xf>
    <xf numFmtId="0" fontId="7" fillId="6" borderId="0" xfId="0" applyFont="1" applyFill="1" applyAlignment="1" applyProtection="1">
      <alignment horizontal="right" vertical="center"/>
      <protection locked="0"/>
    </xf>
    <xf numFmtId="0" fontId="7" fillId="6" borderId="3" xfId="0" applyFont="1" applyFill="1" applyBorder="1" applyAlignment="1" applyProtection="1">
      <alignment horizontal="right" vertical="center"/>
      <protection locked="0"/>
    </xf>
    <xf numFmtId="0" fontId="16" fillId="0" borderId="4" xfId="0" applyFont="1" applyBorder="1" applyAlignment="1">
      <alignment horizontal="left" vertical="center"/>
    </xf>
    <xf numFmtId="0" fontId="11" fillId="0" borderId="15" xfId="0" applyFont="1" applyBorder="1" applyAlignment="1">
      <alignment horizontal="right" vertical="center" wrapText="1"/>
    </xf>
    <xf numFmtId="0" fontId="11" fillId="0" borderId="15" xfId="0" applyFont="1" applyBorder="1" applyAlignment="1">
      <alignment horizontal="right" vertical="center"/>
    </xf>
    <xf numFmtId="0" fontId="2" fillId="0" borderId="0" xfId="0" applyFont="1" applyAlignment="1">
      <alignment horizontal="center" vertical="center"/>
    </xf>
    <xf numFmtId="0" fontId="3" fillId="0" borderId="0" xfId="0" applyFont="1" applyAlignment="1">
      <alignment horizontal="center" vertical="center"/>
    </xf>
    <xf numFmtId="0" fontId="7" fillId="0" borderId="0" xfId="0" applyFont="1" applyAlignment="1">
      <alignment horizontal="right" vertical="center"/>
    </xf>
    <xf numFmtId="0" fontId="3" fillId="0" borderId="0" xfId="0" applyFont="1" applyAlignment="1">
      <alignment vertical="center"/>
    </xf>
    <xf numFmtId="0" fontId="14" fillId="0" borderId="0" xfId="0" applyFont="1" applyAlignment="1">
      <alignment horizontal="left" vertical="center" wrapText="1"/>
    </xf>
    <xf numFmtId="0" fontId="0" fillId="0" borderId="0" xfId="0" applyAlignment="1">
      <alignment horizontal="left" vertical="center"/>
    </xf>
    <xf numFmtId="0" fontId="0" fillId="0" borderId="0" xfId="0" applyAlignment="1">
      <alignment horizontal="left" vertical="center" wrapText="1"/>
    </xf>
    <xf numFmtId="0" fontId="14" fillId="0" borderId="0" xfId="0" applyFont="1" applyAlignment="1">
      <alignment horizontal="left" vertical="top" wrapText="1"/>
    </xf>
    <xf numFmtId="0" fontId="0" fillId="0" borderId="0" xfId="0" applyAlignment="1">
      <alignment horizontal="left" vertical="top" wrapText="1"/>
    </xf>
    <xf numFmtId="0" fontId="16" fillId="0" borderId="4" xfId="0" applyFont="1" applyBorder="1" applyAlignment="1">
      <alignment horizontal="center" vertical="center"/>
    </xf>
    <xf numFmtId="0" fontId="0" fillId="0" borderId="0" xfId="0" applyAlignment="1">
      <alignment horizontal="center"/>
    </xf>
    <xf numFmtId="0" fontId="14" fillId="0" borderId="0" xfId="0" applyFont="1" applyAlignment="1">
      <alignment horizontal="left" vertical="center"/>
    </xf>
    <xf numFmtId="0" fontId="7" fillId="6" borderId="4" xfId="0" applyFont="1" applyFill="1" applyBorder="1" applyAlignment="1" applyProtection="1">
      <alignment horizontal="right" vertical="center"/>
      <protection locked="0"/>
    </xf>
    <xf numFmtId="0" fontId="7" fillId="0" borderId="0" xfId="0" applyFont="1" applyAlignment="1" applyProtection="1">
      <alignment horizontal="right" vertical="center"/>
      <protection locked="0"/>
    </xf>
    <xf numFmtId="0" fontId="7" fillId="6" borderId="0" xfId="0" applyFont="1" applyFill="1" applyAlignment="1" applyProtection="1">
      <alignment horizontal="right" vertical="center"/>
      <protection locked="0"/>
    </xf>
    <xf numFmtId="0" fontId="5" fillId="0" borderId="3" xfId="0" applyFont="1" applyBorder="1" applyAlignment="1">
      <alignment horizontal="center" vertical="center"/>
    </xf>
    <xf numFmtId="166" fontId="7" fillId="0" borderId="16" xfId="0" applyNumberFormat="1" applyFont="1" applyBorder="1" applyAlignment="1">
      <alignment horizontal="center" vertical="center"/>
    </xf>
    <xf numFmtId="0" fontId="7" fillId="0" borderId="0" xfId="0" applyFont="1" applyAlignment="1">
      <alignment horizontal="center" vertical="center"/>
    </xf>
    <xf numFmtId="40" fontId="6" fillId="0" borderId="0" xfId="0" applyNumberFormat="1" applyFont="1" applyAlignment="1">
      <alignment horizontal="center" vertical="center"/>
    </xf>
    <xf numFmtId="0" fontId="7" fillId="0" borderId="4" xfId="0" applyFont="1" applyBorder="1" applyAlignment="1">
      <alignment horizontal="center" vertical="center"/>
    </xf>
    <xf numFmtId="0" fontId="5" fillId="0" borderId="4" xfId="0" applyFont="1" applyBorder="1" applyAlignment="1">
      <alignment horizontal="center" vertical="center"/>
    </xf>
    <xf numFmtId="0" fontId="6" fillId="0" borderId="4" xfId="0" applyFont="1" applyBorder="1" applyAlignment="1">
      <alignment horizontal="center" vertical="center"/>
    </xf>
  </cellXfs>
  <cellStyles count="2">
    <cellStyle name="Normal" xfId="0" builtinId="0"/>
    <cellStyle name="Percent" xfId="1" builtinId="5"/>
  </cellStyles>
  <dxfs count="3">
    <dxf>
      <fill>
        <patternFill>
          <bgColor theme="5" tint="0.39994506668294322"/>
        </patternFill>
      </fill>
    </dxf>
    <dxf>
      <fill>
        <patternFill>
          <bgColor theme="6" tint="0.59996337778862885"/>
        </patternFill>
      </fill>
    </dxf>
    <dxf>
      <fill>
        <patternFill>
          <bgColor rgb="FF92D050"/>
        </patternFill>
      </fill>
    </dxf>
  </dxfs>
  <tableStyles count="0" defaultTableStyle="TableStyleMedium2" defaultPivotStyle="PivotStyleLight16"/>
  <colors>
    <mruColors>
      <color rgb="FF161616"/>
      <color rgb="FFFFFFFF"/>
      <color rgb="FF080808"/>
      <color rgb="FF111111"/>
      <color rgb="FF1C1C1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png"/><Relationship Id="rId4" Type="http://schemas.openxmlformats.org/officeDocument/2006/relationships/image" Target="../media/image4.emf"/></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243099</xdr:colOff>
      <xdr:row>0</xdr:row>
      <xdr:rowOff>0</xdr:rowOff>
    </xdr:from>
    <xdr:to>
      <xdr:col>1</xdr:col>
      <xdr:colOff>704215</xdr:colOff>
      <xdr:row>0</xdr:row>
      <xdr:rowOff>1247775</xdr:rowOff>
    </xdr:to>
    <xdr:pic>
      <xdr:nvPicPr>
        <xdr:cNvPr id="4" name="Picture 3">
          <a:extLst>
            <a:ext uri="{FF2B5EF4-FFF2-40B4-BE49-F238E27FC236}">
              <a16:creationId xmlns:a16="http://schemas.microsoft.com/office/drawing/2014/main" id="{785331B0-D2ED-4E83-9D00-E04EEF715C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43099" y="0"/>
          <a:ext cx="1663237" cy="1247775"/>
        </a:xfrm>
        <a:prstGeom prst="rect">
          <a:avLst/>
        </a:prstGeom>
      </xdr:spPr>
    </xdr:pic>
    <xdr:clientData/>
  </xdr:twoCellAnchor>
  <xdr:twoCellAnchor editAs="oneCell">
    <xdr:from>
      <xdr:col>0</xdr:col>
      <xdr:colOff>137948</xdr:colOff>
      <xdr:row>3</xdr:row>
      <xdr:rowOff>78828</xdr:rowOff>
    </xdr:from>
    <xdr:to>
      <xdr:col>3</xdr:col>
      <xdr:colOff>889617</xdr:colOff>
      <xdr:row>23</xdr:row>
      <xdr:rowOff>155685</xdr:rowOff>
    </xdr:to>
    <xdr:pic>
      <xdr:nvPicPr>
        <xdr:cNvPr id="6" name="Picture 5">
          <a:extLst>
            <a:ext uri="{FF2B5EF4-FFF2-40B4-BE49-F238E27FC236}">
              <a16:creationId xmlns:a16="http://schemas.microsoft.com/office/drawing/2014/main" id="{EB475917-C000-47D5-A8AD-7A64AB9A8E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7948" y="2535621"/>
          <a:ext cx="4653635" cy="62319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59121</xdr:colOff>
      <xdr:row>28</xdr:row>
      <xdr:rowOff>157656</xdr:rowOff>
    </xdr:from>
    <xdr:to>
      <xdr:col>3</xdr:col>
      <xdr:colOff>755993</xdr:colOff>
      <xdr:row>40</xdr:row>
      <xdr:rowOff>111672</xdr:rowOff>
    </xdr:to>
    <xdr:pic>
      <xdr:nvPicPr>
        <xdr:cNvPr id="7" name="Picture 6">
          <a:extLst>
            <a:ext uri="{FF2B5EF4-FFF2-40B4-BE49-F238E27FC236}">
              <a16:creationId xmlns:a16="http://schemas.microsoft.com/office/drawing/2014/main" id="{C956D553-F48D-4B2D-88D5-39BEF82B084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9121" y="9590690"/>
          <a:ext cx="4598838" cy="40399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43</xdr:row>
      <xdr:rowOff>6570</xdr:rowOff>
    </xdr:from>
    <xdr:to>
      <xdr:col>3</xdr:col>
      <xdr:colOff>617482</xdr:colOff>
      <xdr:row>58</xdr:row>
      <xdr:rowOff>21864</xdr:rowOff>
    </xdr:to>
    <xdr:pic>
      <xdr:nvPicPr>
        <xdr:cNvPr id="14" name="Picture 13">
          <a:extLst>
            <a:ext uri="{FF2B5EF4-FFF2-40B4-BE49-F238E27FC236}">
              <a16:creationId xmlns:a16="http://schemas.microsoft.com/office/drawing/2014/main" id="{3C74FDCE-F116-4066-B3F0-5326FD9CAE6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14018173"/>
          <a:ext cx="4519448" cy="35034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241834</xdr:colOff>
      <xdr:row>0</xdr:row>
      <xdr:rowOff>0</xdr:rowOff>
    </xdr:from>
    <xdr:to>
      <xdr:col>1</xdr:col>
      <xdr:colOff>448306</xdr:colOff>
      <xdr:row>0</xdr:row>
      <xdr:rowOff>1247775</xdr:rowOff>
    </xdr:to>
    <xdr:pic>
      <xdr:nvPicPr>
        <xdr:cNvPr id="4" name="Picture 3">
          <a:extLst>
            <a:ext uri="{FF2B5EF4-FFF2-40B4-BE49-F238E27FC236}">
              <a16:creationId xmlns:a16="http://schemas.microsoft.com/office/drawing/2014/main" id="{647C0B9C-7D6F-4117-88CB-A80D11FC4A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41834" y="0"/>
          <a:ext cx="1663237" cy="12477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242114</xdr:colOff>
      <xdr:row>0</xdr:row>
      <xdr:rowOff>0</xdr:rowOff>
    </xdr:from>
    <xdr:to>
      <xdr:col>1</xdr:col>
      <xdr:colOff>38451</xdr:colOff>
      <xdr:row>1</xdr:row>
      <xdr:rowOff>0</xdr:rowOff>
    </xdr:to>
    <xdr:pic>
      <xdr:nvPicPr>
        <xdr:cNvPr id="3" name="Picture 2">
          <a:extLst>
            <a:ext uri="{FF2B5EF4-FFF2-40B4-BE49-F238E27FC236}">
              <a16:creationId xmlns:a16="http://schemas.microsoft.com/office/drawing/2014/main" id="{223818CA-DED9-4827-8DE1-5906455CFD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42114" y="0"/>
          <a:ext cx="1663237" cy="12477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242528</xdr:colOff>
      <xdr:row>0</xdr:row>
      <xdr:rowOff>0</xdr:rowOff>
    </xdr:from>
    <xdr:to>
      <xdr:col>2</xdr:col>
      <xdr:colOff>514287</xdr:colOff>
      <xdr:row>0</xdr:row>
      <xdr:rowOff>1247775</xdr:rowOff>
    </xdr:to>
    <xdr:pic>
      <xdr:nvPicPr>
        <xdr:cNvPr id="4" name="Picture 3">
          <a:extLst>
            <a:ext uri="{FF2B5EF4-FFF2-40B4-BE49-F238E27FC236}">
              <a16:creationId xmlns:a16="http://schemas.microsoft.com/office/drawing/2014/main" id="{3D80D18F-5D34-4F1A-B1A5-294102B2C5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42528" y="0"/>
          <a:ext cx="1663237" cy="124777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62343-1331-4AFE-8B56-D05A0F5577A1}">
  <dimension ref="A1:H48"/>
  <sheetViews>
    <sheetView showGridLines="0" showRowColHeaders="0" topLeftCell="A29" zoomScale="145" zoomScaleNormal="145" zoomScaleSheetLayoutView="160" workbookViewId="0">
      <selection activeCell="A63" sqref="A63"/>
    </sheetView>
  </sheetViews>
  <sheetFormatPr defaultColWidth="16" defaultRowHeight="13.2" x14ac:dyDescent="0.25"/>
  <cols>
    <col min="1" max="1" width="18" customWidth="1"/>
    <col min="3" max="3" width="24.5546875" customWidth="1"/>
    <col min="7" max="7" width="12.88671875" customWidth="1"/>
    <col min="8" max="8" width="10.109375" customWidth="1"/>
  </cols>
  <sheetData>
    <row r="1" spans="1:8" ht="99" customHeight="1" x14ac:dyDescent="0.25">
      <c r="A1" s="132" t="s">
        <v>96</v>
      </c>
      <c r="B1" s="132"/>
      <c r="C1" s="132"/>
      <c r="D1" s="132"/>
      <c r="E1" s="132"/>
      <c r="F1" s="132"/>
      <c r="G1" s="132"/>
      <c r="H1" s="132"/>
    </row>
    <row r="2" spans="1:8" x14ac:dyDescent="0.25">
      <c r="A2" s="133"/>
      <c r="B2" s="133"/>
      <c r="C2" s="133"/>
      <c r="D2" s="133"/>
      <c r="E2" s="133"/>
      <c r="F2" s="133"/>
      <c r="G2" s="133"/>
      <c r="H2" s="133"/>
    </row>
    <row r="3" spans="1:8" ht="81.75" customHeight="1" x14ac:dyDescent="0.25">
      <c r="A3" s="130" t="s">
        <v>97</v>
      </c>
      <c r="B3" s="131"/>
      <c r="C3" s="131"/>
      <c r="D3" s="131"/>
      <c r="E3" s="131"/>
      <c r="F3" s="131"/>
      <c r="G3" s="131"/>
      <c r="H3" s="131"/>
    </row>
    <row r="5" spans="1:8" ht="27.75" customHeight="1" x14ac:dyDescent="0.25">
      <c r="E5" s="127" t="s">
        <v>102</v>
      </c>
      <c r="F5" s="128"/>
      <c r="G5" s="128"/>
      <c r="H5" s="128"/>
    </row>
    <row r="6" spans="1:8" ht="107.25" customHeight="1" x14ac:dyDescent="0.25">
      <c r="E6" s="127" t="s">
        <v>98</v>
      </c>
      <c r="F6" s="134"/>
      <c r="G6" s="134"/>
    </row>
    <row r="7" spans="1:8" ht="129.75" customHeight="1" x14ac:dyDescent="0.25">
      <c r="E7" s="127" t="s">
        <v>99</v>
      </c>
      <c r="F7" s="129"/>
      <c r="G7" s="129"/>
    </row>
    <row r="30" spans="5:8" x14ac:dyDescent="0.25">
      <c r="E30" s="127" t="s">
        <v>101</v>
      </c>
      <c r="F30" s="128"/>
      <c r="G30" s="128"/>
      <c r="H30" s="128"/>
    </row>
    <row r="32" spans="5:8" ht="179.25" customHeight="1" x14ac:dyDescent="0.25">
      <c r="E32" s="127" t="s">
        <v>100</v>
      </c>
      <c r="F32" s="129"/>
      <c r="G32" s="129"/>
    </row>
    <row r="44" spans="5:8" x14ac:dyDescent="0.25">
      <c r="E44" s="127" t="s">
        <v>103</v>
      </c>
      <c r="F44" s="128"/>
      <c r="G44" s="128"/>
      <c r="H44" s="128"/>
    </row>
    <row r="46" spans="5:8" ht="49.5" customHeight="1" x14ac:dyDescent="0.25">
      <c r="E46" s="130" t="s">
        <v>106</v>
      </c>
      <c r="F46" s="131"/>
      <c r="G46" s="131"/>
    </row>
    <row r="48" spans="5:8" ht="57" customHeight="1" x14ac:dyDescent="0.25">
      <c r="E48" s="127" t="s">
        <v>107</v>
      </c>
      <c r="F48" s="129"/>
      <c r="G48" s="129"/>
    </row>
  </sheetData>
  <sheetProtection algorithmName="SHA-512" hashValue="Qo0LYCszxowCutyGK1Bpu2BhXup3tak4VHCXYhLUBQlJqNGhAgxxXrYsl0uaAym32f13vNJ9b5NJyzVgxK7nRA==" saltValue="AEcZgKzXnDv/Dw8AOAEEcA==" spinCount="100000" sheet="1" objects="1" scenarios="1" selectLockedCells="1"/>
  <mergeCells count="11">
    <mergeCell ref="E7:G7"/>
    <mergeCell ref="A1:H1"/>
    <mergeCell ref="A2:H2"/>
    <mergeCell ref="A3:H3"/>
    <mergeCell ref="E5:H5"/>
    <mergeCell ref="E6:G6"/>
    <mergeCell ref="E30:H30"/>
    <mergeCell ref="E32:G32"/>
    <mergeCell ref="E44:H44"/>
    <mergeCell ref="E46:G46"/>
    <mergeCell ref="E48:G48"/>
  </mergeCells>
  <pageMargins left="0.7" right="0.7" top="0.75" bottom="0.75" header="0.3" footer="0.3"/>
  <pageSetup scale="71" orientation="portrait" r:id="rId1"/>
  <rowBreaks count="1" manualBreakCount="1">
    <brk id="28"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52"/>
  <sheetViews>
    <sheetView showGridLines="0" topLeftCell="A11" zoomScale="115" zoomScaleNormal="115" workbookViewId="0">
      <selection activeCell="C34" sqref="C34:D34"/>
    </sheetView>
  </sheetViews>
  <sheetFormatPr defaultColWidth="14.44140625" defaultRowHeight="16.2" x14ac:dyDescent="0.25"/>
  <cols>
    <col min="1" max="1" width="21.88671875" style="3" customWidth="1"/>
    <col min="2" max="2" width="20.44140625" style="3" customWidth="1"/>
    <col min="3" max="3" width="17.88671875" style="3" customWidth="1"/>
    <col min="4" max="5" width="14.44140625" style="3"/>
    <col min="6" max="6" width="16.88671875" style="3" bestFit="1" customWidth="1"/>
    <col min="7" max="7" width="14.6640625" style="3" bestFit="1" customWidth="1"/>
    <col min="8" max="8" width="6.109375" style="3" customWidth="1"/>
    <col min="9" max="9" width="14.44140625" style="3"/>
    <col min="10" max="10" width="27.6640625" style="3" customWidth="1"/>
    <col min="11" max="16384" width="14.44140625" style="3"/>
  </cols>
  <sheetData>
    <row r="1" spans="1:8" ht="100.5" customHeight="1" x14ac:dyDescent="0.25">
      <c r="A1" s="116"/>
      <c r="B1" s="116"/>
      <c r="C1" s="120" t="s">
        <v>104</v>
      </c>
      <c r="D1" s="120"/>
      <c r="E1" s="120"/>
      <c r="F1" s="120"/>
      <c r="G1" s="120"/>
      <c r="H1" s="120"/>
    </row>
    <row r="2" spans="1:8" x14ac:dyDescent="0.25">
      <c r="A2" s="4"/>
      <c r="B2" s="2"/>
      <c r="C2" s="2"/>
      <c r="D2" s="4"/>
      <c r="E2" s="4"/>
      <c r="F2" s="4"/>
      <c r="G2" s="4"/>
      <c r="H2" s="2"/>
    </row>
    <row r="3" spans="1:8" ht="21.6" x14ac:dyDescent="0.25">
      <c r="A3" s="6" t="s">
        <v>1</v>
      </c>
      <c r="B3" s="5"/>
      <c r="C3" s="5"/>
      <c r="D3" s="5"/>
      <c r="E3" s="5"/>
      <c r="F3" s="5"/>
      <c r="G3" s="5"/>
    </row>
    <row r="4" spans="1:8" ht="16.8" thickBot="1" x14ac:dyDescent="0.3">
      <c r="A4" s="5"/>
      <c r="B4" s="7"/>
      <c r="C4" s="7"/>
      <c r="D4" s="7"/>
      <c r="E4" s="7"/>
      <c r="F4" s="7"/>
      <c r="G4" s="7"/>
    </row>
    <row r="5" spans="1:8" x14ac:dyDescent="0.25">
      <c r="A5" s="8" t="s">
        <v>79</v>
      </c>
      <c r="B5" s="99" t="s">
        <v>110</v>
      </c>
      <c r="D5" s="2"/>
      <c r="E5" s="2"/>
      <c r="F5" s="2"/>
      <c r="G5" s="2"/>
    </row>
    <row r="6" spans="1:8" x14ac:dyDescent="0.25">
      <c r="A6" s="8" t="s">
        <v>80</v>
      </c>
      <c r="B6" s="100" t="s">
        <v>108</v>
      </c>
      <c r="D6" s="2"/>
      <c r="E6" s="2"/>
      <c r="F6" s="2"/>
      <c r="G6" s="2"/>
    </row>
    <row r="7" spans="1:8" x14ac:dyDescent="0.25">
      <c r="A7" s="8" t="s">
        <v>81</v>
      </c>
      <c r="B7" s="100" t="s">
        <v>83</v>
      </c>
      <c r="D7" s="2"/>
      <c r="E7" s="2"/>
      <c r="F7" s="2"/>
      <c r="G7" s="2"/>
    </row>
    <row r="8" spans="1:8" ht="16.8" thickBot="1" x14ac:dyDescent="0.3">
      <c r="A8" s="8" t="s">
        <v>82</v>
      </c>
      <c r="B8" s="101" t="s">
        <v>109</v>
      </c>
      <c r="D8" s="2"/>
      <c r="E8" s="2"/>
      <c r="F8" s="2"/>
      <c r="G8" s="2"/>
    </row>
    <row r="9" spans="1:8" x14ac:dyDescent="0.25">
      <c r="A9" s="8"/>
      <c r="B9" s="5"/>
      <c r="C9" s="5"/>
      <c r="D9" s="5"/>
      <c r="E9" s="5"/>
      <c r="F9" s="5"/>
      <c r="G9" s="5"/>
    </row>
    <row r="10" spans="1:8" ht="28.8" x14ac:dyDescent="0.25">
      <c r="A10" s="8" t="s">
        <v>6</v>
      </c>
      <c r="B10" s="8" t="s">
        <v>8</v>
      </c>
      <c r="C10" s="5"/>
      <c r="D10" s="9" t="s">
        <v>85</v>
      </c>
      <c r="E10" s="9" t="s">
        <v>84</v>
      </c>
      <c r="F10" s="5"/>
      <c r="G10" s="5"/>
    </row>
    <row r="11" spans="1:8" x14ac:dyDescent="0.25">
      <c r="A11" s="10"/>
      <c r="B11" s="11"/>
      <c r="C11" s="5"/>
      <c r="D11" s="102"/>
      <c r="E11" s="103"/>
      <c r="F11" s="40">
        <f>E11*D11*12</f>
        <v>0</v>
      </c>
      <c r="G11" s="5"/>
    </row>
    <row r="12" spans="1:8" x14ac:dyDescent="0.25">
      <c r="A12" s="10"/>
      <c r="B12" s="11"/>
      <c r="C12" s="5"/>
      <c r="D12" s="5"/>
      <c r="E12" s="5"/>
      <c r="F12" s="5"/>
      <c r="G12" s="5"/>
    </row>
    <row r="13" spans="1:8" ht="28.8" x14ac:dyDescent="0.25">
      <c r="A13" s="10"/>
      <c r="B13" s="11"/>
      <c r="C13" s="5"/>
      <c r="D13" s="9" t="s">
        <v>85</v>
      </c>
      <c r="E13" s="9" t="s">
        <v>84</v>
      </c>
      <c r="F13" s="5"/>
      <c r="G13" s="13"/>
    </row>
    <row r="14" spans="1:8" x14ac:dyDescent="0.25">
      <c r="A14" s="10"/>
      <c r="B14" s="8" t="s">
        <v>24</v>
      </c>
      <c r="C14" s="5" t="s">
        <v>25</v>
      </c>
      <c r="D14" s="102">
        <v>0</v>
      </c>
      <c r="E14" s="103"/>
      <c r="F14" s="40">
        <f t="shared" ref="F14:F15" si="0">D14*E14*12</f>
        <v>0</v>
      </c>
      <c r="G14" s="5"/>
    </row>
    <row r="15" spans="1:8" x14ac:dyDescent="0.25">
      <c r="A15" s="10"/>
      <c r="B15" s="5"/>
      <c r="C15" s="14" t="s">
        <v>35</v>
      </c>
      <c r="D15" s="102">
        <v>0</v>
      </c>
      <c r="E15" s="103"/>
      <c r="F15" s="40">
        <f t="shared" si="0"/>
        <v>0</v>
      </c>
      <c r="G15" s="5"/>
    </row>
    <row r="16" spans="1:8" x14ac:dyDescent="0.25">
      <c r="A16" s="10"/>
      <c r="B16" s="5"/>
      <c r="C16" s="5" t="s">
        <v>86</v>
      </c>
      <c r="D16" s="102">
        <v>0</v>
      </c>
      <c r="E16" s="103"/>
      <c r="F16" s="40">
        <f t="shared" ref="F16" si="1">D16*E16*12</f>
        <v>0</v>
      </c>
      <c r="G16" s="5"/>
    </row>
    <row r="17" spans="1:7" x14ac:dyDescent="0.25">
      <c r="A17" s="10"/>
      <c r="B17" s="5"/>
      <c r="C17" s="5"/>
      <c r="D17" s="17"/>
      <c r="E17" s="17"/>
      <c r="F17" s="36"/>
      <c r="G17" s="5"/>
    </row>
    <row r="18" spans="1:7" x14ac:dyDescent="0.25">
      <c r="A18" s="10"/>
      <c r="B18" s="5"/>
      <c r="C18" s="5"/>
      <c r="D18" s="17"/>
      <c r="E18" s="18" t="s">
        <v>41</v>
      </c>
      <c r="F18" s="41">
        <f>F11+F14+F15+F16</f>
        <v>0</v>
      </c>
      <c r="G18" s="20"/>
    </row>
    <row r="19" spans="1:7" x14ac:dyDescent="0.25">
      <c r="A19" s="10"/>
      <c r="B19" s="5"/>
      <c r="C19" s="5"/>
      <c r="D19" s="7"/>
      <c r="E19" s="5"/>
      <c r="F19" s="5"/>
      <c r="G19" s="20"/>
    </row>
    <row r="20" spans="1:7" x14ac:dyDescent="0.25">
      <c r="A20" s="8" t="s">
        <v>45</v>
      </c>
      <c r="B20" s="138" t="s">
        <v>46</v>
      </c>
      <c r="C20" s="138"/>
      <c r="D20" s="104">
        <v>0.05</v>
      </c>
      <c r="E20" s="5"/>
      <c r="F20" s="40">
        <f>-(F11*D20)</f>
        <v>0</v>
      </c>
      <c r="G20" s="5"/>
    </row>
    <row r="21" spans="1:7" x14ac:dyDescent="0.25">
      <c r="A21" s="5"/>
      <c r="B21" s="138" t="s">
        <v>48</v>
      </c>
      <c r="C21" s="138"/>
      <c r="D21" s="104">
        <v>0.03</v>
      </c>
      <c r="E21" s="5"/>
      <c r="F21" s="42">
        <f>-(F18*D21)</f>
        <v>0</v>
      </c>
      <c r="G21" s="5"/>
    </row>
    <row r="22" spans="1:7" x14ac:dyDescent="0.25">
      <c r="A22" s="5"/>
      <c r="B22" s="5"/>
      <c r="C22" s="5"/>
      <c r="D22" s="5"/>
      <c r="E22" s="5"/>
      <c r="F22" s="15"/>
      <c r="G22" s="15"/>
    </row>
    <row r="23" spans="1:7" ht="18.600000000000001" thickBot="1" x14ac:dyDescent="0.3">
      <c r="A23" s="87" t="s">
        <v>91</v>
      </c>
      <c r="B23" s="88"/>
      <c r="C23" s="88"/>
      <c r="D23" s="88"/>
      <c r="E23" s="88"/>
      <c r="F23" s="86">
        <f>F18+F20+F21</f>
        <v>0</v>
      </c>
      <c r="G23" s="85">
        <v>1</v>
      </c>
    </row>
    <row r="24" spans="1:7" x14ac:dyDescent="0.25">
      <c r="A24" s="5"/>
      <c r="B24" s="5"/>
      <c r="C24" s="5"/>
      <c r="D24" s="5"/>
      <c r="E24" s="5"/>
      <c r="F24" s="5"/>
      <c r="G24" s="5"/>
    </row>
    <row r="25" spans="1:7" ht="21.6" x14ac:dyDescent="0.25">
      <c r="A25" s="6" t="s">
        <v>56</v>
      </c>
      <c r="C25" s="5"/>
      <c r="D25" s="5"/>
      <c r="E25" s="5"/>
      <c r="F25" s="5"/>
      <c r="G25" s="5"/>
    </row>
    <row r="26" spans="1:7" x14ac:dyDescent="0.25">
      <c r="B26" s="10"/>
      <c r="C26" s="5"/>
      <c r="D26" s="5"/>
      <c r="E26" s="21" t="s">
        <v>57</v>
      </c>
      <c r="F26" s="22" t="s">
        <v>58</v>
      </c>
      <c r="G26" s="22" t="s">
        <v>59</v>
      </c>
    </row>
    <row r="27" spans="1:7" x14ac:dyDescent="0.25">
      <c r="C27" s="125" t="s">
        <v>60</v>
      </c>
      <c r="D27" s="125"/>
      <c r="E27" s="23" t="e">
        <f>F27/F23</f>
        <v>#DIV/0!</v>
      </c>
      <c r="F27" s="103">
        <v>0</v>
      </c>
      <c r="G27" s="39" t="e">
        <f>(F27/D14)/12</f>
        <v>#DIV/0!</v>
      </c>
    </row>
    <row r="28" spans="1:7" x14ac:dyDescent="0.25">
      <c r="C28" s="125" t="s">
        <v>63</v>
      </c>
      <c r="D28" s="125"/>
      <c r="E28" s="23" t="e">
        <f>F28/F23</f>
        <v>#DIV/0!</v>
      </c>
      <c r="F28" s="103">
        <v>0</v>
      </c>
      <c r="G28" s="39" t="e">
        <f>(F28/D14)/12</f>
        <v>#DIV/0!</v>
      </c>
    </row>
    <row r="29" spans="1:7" x14ac:dyDescent="0.25">
      <c r="C29" s="125" t="s">
        <v>65</v>
      </c>
      <c r="D29" s="125"/>
      <c r="E29" s="23" t="e">
        <f>F29/F23</f>
        <v>#DIV/0!</v>
      </c>
      <c r="F29" s="103">
        <v>0</v>
      </c>
      <c r="G29" s="39" t="e">
        <f>(F29/D14)/12</f>
        <v>#DIV/0!</v>
      </c>
    </row>
    <row r="30" spans="1:7" x14ac:dyDescent="0.25">
      <c r="C30" s="125" t="s">
        <v>68</v>
      </c>
      <c r="D30" s="125"/>
      <c r="E30" s="23" t="e">
        <f>F30/F23</f>
        <v>#DIV/0!</v>
      </c>
      <c r="F30" s="103">
        <v>0</v>
      </c>
      <c r="G30" s="39" t="e">
        <f>(F30/D14)/12</f>
        <v>#DIV/0!</v>
      </c>
    </row>
    <row r="31" spans="1:7" x14ac:dyDescent="0.25">
      <c r="C31" s="125" t="s">
        <v>70</v>
      </c>
      <c r="D31" s="125"/>
      <c r="E31" s="23" t="e">
        <f>F31/F23</f>
        <v>#DIV/0!</v>
      </c>
      <c r="F31" s="103">
        <v>0</v>
      </c>
      <c r="G31" s="39" t="e">
        <f>(F31/D14)/12</f>
        <v>#DIV/0!</v>
      </c>
    </row>
    <row r="32" spans="1:7" x14ac:dyDescent="0.25">
      <c r="C32" s="125" t="s">
        <v>71</v>
      </c>
      <c r="D32" s="125"/>
      <c r="E32" s="23" t="e">
        <f>F32/F23</f>
        <v>#DIV/0!</v>
      </c>
      <c r="F32" s="103">
        <v>0</v>
      </c>
      <c r="G32" s="39" t="e">
        <f>(F32/D14)/12</f>
        <v>#DIV/0!</v>
      </c>
    </row>
    <row r="33" spans="1:7" x14ac:dyDescent="0.25">
      <c r="C33" s="136" t="s">
        <v>74</v>
      </c>
      <c r="D33" s="136"/>
      <c r="E33" s="23" t="e">
        <f>F33/F23</f>
        <v>#DIV/0!</v>
      </c>
      <c r="F33" s="103">
        <v>0</v>
      </c>
      <c r="G33" s="39" t="e">
        <f>(F33/D14)/12</f>
        <v>#DIV/0!</v>
      </c>
    </row>
    <row r="34" spans="1:7" x14ac:dyDescent="0.25">
      <c r="C34" s="137" t="s">
        <v>74</v>
      </c>
      <c r="D34" s="137"/>
      <c r="E34" s="23" t="e">
        <f>F34/F23</f>
        <v>#DIV/0!</v>
      </c>
      <c r="F34" s="103">
        <v>0</v>
      </c>
      <c r="G34" s="39" t="e">
        <f>(F34/D14)/12</f>
        <v>#DIV/0!</v>
      </c>
    </row>
    <row r="35" spans="1:7" x14ac:dyDescent="0.25">
      <c r="C35" s="137" t="s">
        <v>74</v>
      </c>
      <c r="D35" s="137"/>
      <c r="E35" s="23" t="e">
        <f>F35/F23</f>
        <v>#DIV/0!</v>
      </c>
      <c r="F35" s="103">
        <v>0</v>
      </c>
      <c r="G35" s="39" t="e">
        <f>(F35/D14)/12</f>
        <v>#DIV/0!</v>
      </c>
    </row>
    <row r="36" spans="1:7" x14ac:dyDescent="0.25">
      <c r="C36" s="137" t="s">
        <v>74</v>
      </c>
      <c r="D36" s="137"/>
      <c r="E36" s="23" t="e">
        <f>F36/F23</f>
        <v>#DIV/0!</v>
      </c>
      <c r="F36" s="103">
        <v>0</v>
      </c>
      <c r="G36" s="39" t="e">
        <f>(F36/D14)/12</f>
        <v>#DIV/0!</v>
      </c>
    </row>
    <row r="37" spans="1:7" x14ac:dyDescent="0.25">
      <c r="C37" s="137" t="s">
        <v>74</v>
      </c>
      <c r="D37" s="137"/>
      <c r="E37" s="23" t="e">
        <f>F37/F23</f>
        <v>#DIV/0!</v>
      </c>
      <c r="F37" s="103">
        <v>0</v>
      </c>
      <c r="G37" s="39" t="e">
        <f>(F37/D14)/12</f>
        <v>#DIV/0!</v>
      </c>
    </row>
    <row r="38" spans="1:7" x14ac:dyDescent="0.25">
      <c r="C38" s="137" t="s">
        <v>74</v>
      </c>
      <c r="D38" s="137"/>
      <c r="E38" s="23" t="e">
        <f>F38/F23</f>
        <v>#DIV/0!</v>
      </c>
      <c r="F38" s="103">
        <v>0</v>
      </c>
      <c r="G38" s="39" t="e">
        <f>(F38/D14)/12</f>
        <v>#DIV/0!</v>
      </c>
    </row>
    <row r="39" spans="1:7" x14ac:dyDescent="0.25">
      <c r="C39" s="137" t="s">
        <v>74</v>
      </c>
      <c r="D39" s="137"/>
      <c r="E39" s="23" t="e">
        <f>F39/F23</f>
        <v>#DIV/0!</v>
      </c>
      <c r="F39" s="103">
        <v>0</v>
      </c>
      <c r="G39" s="39" t="e">
        <f>(F39/D14)/12</f>
        <v>#DIV/0!</v>
      </c>
    </row>
    <row r="40" spans="1:7" x14ac:dyDescent="0.25">
      <c r="C40" s="135" t="s">
        <v>74</v>
      </c>
      <c r="D40" s="135"/>
      <c r="E40" s="23" t="e">
        <f>F40/F23</f>
        <v>#DIV/0!</v>
      </c>
      <c r="F40" s="103">
        <v>0</v>
      </c>
      <c r="G40" s="39" t="e">
        <f>(F40/D14)/12</f>
        <v>#DIV/0!</v>
      </c>
    </row>
    <row r="41" spans="1:7" ht="16.8" thickBot="1" x14ac:dyDescent="0.3">
      <c r="C41" s="24" t="s">
        <v>76</v>
      </c>
      <c r="D41" s="25"/>
      <c r="E41" s="26" t="e">
        <f>F41/F23</f>
        <v>#DIV/0!</v>
      </c>
      <c r="F41" s="38">
        <f>SUM(F27:F40)</f>
        <v>0</v>
      </c>
      <c r="G41" s="37" t="e">
        <f>(F41/D14)/12</f>
        <v>#DIV/0!</v>
      </c>
    </row>
    <row r="42" spans="1:7" ht="16.8" thickTop="1" x14ac:dyDescent="0.25">
      <c r="C42" s="10"/>
      <c r="D42" s="5"/>
      <c r="E42" s="27"/>
      <c r="F42" s="20"/>
      <c r="G42" s="28"/>
    </row>
    <row r="43" spans="1:7" x14ac:dyDescent="0.25">
      <c r="C43" s="8" t="s">
        <v>77</v>
      </c>
      <c r="D43" s="14"/>
      <c r="E43" s="105">
        <v>0.05</v>
      </c>
      <c r="F43" s="41">
        <f>E43*F23</f>
        <v>0</v>
      </c>
      <c r="G43" s="29" t="e">
        <f>(F43/D14)/12</f>
        <v>#DIV/0!</v>
      </c>
    </row>
    <row r="44" spans="1:7" x14ac:dyDescent="0.25">
      <c r="C44" s="18" t="s">
        <v>78</v>
      </c>
      <c r="D44" s="17"/>
      <c r="E44" s="105">
        <v>0.05</v>
      </c>
      <c r="F44" s="43">
        <f>F23*E44</f>
        <v>0</v>
      </c>
      <c r="G44" s="29" t="e">
        <f>(F44/D14)/12</f>
        <v>#DIV/0!</v>
      </c>
    </row>
    <row r="45" spans="1:7" ht="16.8" thickBot="1" x14ac:dyDescent="0.3">
      <c r="C45" s="24" t="s">
        <v>76</v>
      </c>
      <c r="D45" s="25"/>
      <c r="E45" s="30" t="e">
        <f>F45/F23</f>
        <v>#DIV/0!</v>
      </c>
      <c r="F45" s="44">
        <f>SUM(F43:F44)</f>
        <v>0</v>
      </c>
      <c r="G45" s="44" t="e">
        <f>SUM(G43:G44)</f>
        <v>#DIV/0!</v>
      </c>
    </row>
    <row r="46" spans="1:7" ht="16.8" thickTop="1" x14ac:dyDescent="0.25">
      <c r="A46" s="5"/>
      <c r="B46" s="5"/>
      <c r="C46" s="5"/>
      <c r="D46" s="20"/>
      <c r="E46" s="28"/>
      <c r="F46" s="5"/>
      <c r="G46" s="5"/>
    </row>
    <row r="47" spans="1:7" x14ac:dyDescent="0.25">
      <c r="A47" s="5"/>
      <c r="B47" s="5"/>
      <c r="C47" s="5"/>
      <c r="D47" s="5"/>
      <c r="E47" s="5"/>
      <c r="F47" s="32"/>
      <c r="G47" s="33"/>
    </row>
    <row r="48" spans="1:7" ht="18.600000000000001" thickBot="1" x14ac:dyDescent="0.3">
      <c r="A48" s="87" t="s">
        <v>92</v>
      </c>
      <c r="B48" s="89"/>
      <c r="C48" s="89"/>
      <c r="D48" s="89"/>
      <c r="E48" s="89"/>
      <c r="F48" s="84">
        <f>F41+F45</f>
        <v>0</v>
      </c>
      <c r="G48" s="85" t="e">
        <f>F48/F23</f>
        <v>#DIV/0!</v>
      </c>
    </row>
    <row r="50" spans="1:7" x14ac:dyDescent="0.25">
      <c r="A50" s="5"/>
      <c r="B50" s="5"/>
      <c r="C50" s="5"/>
      <c r="D50" s="5"/>
      <c r="E50" s="5"/>
      <c r="F50" s="5"/>
      <c r="G50" s="5"/>
    </row>
    <row r="51" spans="1:7" ht="18.600000000000001" thickBot="1" x14ac:dyDescent="0.3">
      <c r="A51" s="87" t="s">
        <v>93</v>
      </c>
      <c r="B51" s="89"/>
      <c r="C51" s="89"/>
      <c r="D51" s="89"/>
      <c r="E51" s="89"/>
      <c r="F51" s="82">
        <f>F23-F48</f>
        <v>0</v>
      </c>
      <c r="G51" s="83" t="e">
        <f>F51/F23</f>
        <v>#DIV/0!</v>
      </c>
    </row>
    <row r="52" spans="1:7" ht="21.6" x14ac:dyDescent="0.25">
      <c r="A52" s="6"/>
      <c r="B52" s="5"/>
      <c r="C52" s="5"/>
      <c r="D52" s="5"/>
      <c r="E52" s="5"/>
      <c r="F52" s="34"/>
      <c r="G52" s="35"/>
    </row>
  </sheetData>
  <sheetProtection algorithmName="SHA-512" hashValue="v8AQs0V0W/XJUu3OCwvV+v9knmuNWIS8+xLAe5QagnJUOKfRdtVht4VTEA3kag5d3A5wxR3F6PYEXwt3+shVoQ==" saltValue="7Xh24HSmuP5b/qPunKIK8g==" spinCount="100000" sheet="1" objects="1" scenarios="1" selectLockedCells="1"/>
  <mergeCells count="17">
    <mergeCell ref="B20:C20"/>
    <mergeCell ref="C1:H1"/>
    <mergeCell ref="B21:C21"/>
    <mergeCell ref="C27:D27"/>
    <mergeCell ref="C28:D28"/>
    <mergeCell ref="C29:D29"/>
    <mergeCell ref="C30:D30"/>
    <mergeCell ref="C31:D31"/>
    <mergeCell ref="C32:D32"/>
    <mergeCell ref="C34:D34"/>
    <mergeCell ref="C40:D40"/>
    <mergeCell ref="C33:D33"/>
    <mergeCell ref="C35:D35"/>
    <mergeCell ref="C36:D36"/>
    <mergeCell ref="C37:D37"/>
    <mergeCell ref="C38:D38"/>
    <mergeCell ref="C39:D39"/>
  </mergeCells>
  <pageMargins left="0.7" right="0.7" top="0.75" bottom="0.75" header="0.3" footer="0.3"/>
  <pageSetup scale="66"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34"/>
  <sheetViews>
    <sheetView showGridLines="0" topLeftCell="A5" zoomScaleNormal="100" workbookViewId="0">
      <selection activeCell="C6" sqref="C6"/>
    </sheetView>
  </sheetViews>
  <sheetFormatPr defaultColWidth="14.44140625" defaultRowHeight="16.2" x14ac:dyDescent="0.4"/>
  <cols>
    <col min="1" max="1" width="28" style="1" bestFit="1" customWidth="1"/>
    <col min="2" max="2" width="7" style="1" bestFit="1" customWidth="1"/>
    <col min="3" max="3" width="12.88671875" style="1" bestFit="1" customWidth="1"/>
    <col min="4" max="4" width="6.44140625" style="1" bestFit="1" customWidth="1"/>
    <col min="5" max="5" width="15.44140625" style="1" bestFit="1" customWidth="1"/>
    <col min="6" max="6" width="12.33203125" style="1" bestFit="1" customWidth="1"/>
    <col min="7" max="7" width="11.109375" style="1" bestFit="1" customWidth="1"/>
    <col min="8" max="8" width="18.44140625" style="1" bestFit="1" customWidth="1"/>
    <col min="9" max="9" width="10" style="1" bestFit="1" customWidth="1"/>
    <col min="10" max="10" width="6.33203125" style="1" customWidth="1"/>
    <col min="11" max="16384" width="14.44140625" style="1"/>
  </cols>
  <sheetData>
    <row r="1" spans="1:10" s="3" customFormat="1" ht="98.25" customHeight="1" x14ac:dyDescent="0.25">
      <c r="A1" s="117"/>
      <c r="B1" s="117"/>
      <c r="C1" s="120" t="s">
        <v>105</v>
      </c>
      <c r="D1" s="120"/>
      <c r="E1" s="120"/>
      <c r="F1" s="120"/>
      <c r="G1" s="120"/>
      <c r="H1" s="120"/>
      <c r="I1" s="120"/>
    </row>
    <row r="2" spans="1:10" s="46" customFormat="1" x14ac:dyDescent="0.4">
      <c r="A2" s="45"/>
      <c r="B2" s="45"/>
      <c r="C2" s="45"/>
      <c r="D2" s="45"/>
      <c r="E2" s="45"/>
      <c r="F2" s="45"/>
      <c r="G2" s="45"/>
      <c r="H2" s="45"/>
      <c r="I2" s="45"/>
      <c r="J2" s="45"/>
    </row>
    <row r="3" spans="1:10" ht="27" x14ac:dyDescent="0.4">
      <c r="A3" s="123" t="s">
        <v>2</v>
      </c>
      <c r="B3" s="124"/>
      <c r="C3" s="124"/>
      <c r="D3" s="124"/>
      <c r="E3" s="124"/>
      <c r="F3" s="124"/>
      <c r="G3" s="124"/>
      <c r="H3" s="124"/>
      <c r="I3" s="124"/>
    </row>
    <row r="4" spans="1:10" x14ac:dyDescent="0.4">
      <c r="A4" s="5"/>
      <c r="B4" s="5"/>
      <c r="C4" s="5"/>
      <c r="D4" s="5"/>
      <c r="E4" s="5"/>
      <c r="F4" s="5"/>
      <c r="G4" s="5"/>
      <c r="H4" s="5"/>
      <c r="I4" s="5"/>
    </row>
    <row r="5" spans="1:10" x14ac:dyDescent="0.4">
      <c r="A5" s="5"/>
      <c r="B5" s="5"/>
      <c r="C5" s="7"/>
      <c r="D5" s="5"/>
      <c r="E5" s="5"/>
      <c r="F5" s="5"/>
      <c r="G5" s="5"/>
      <c r="H5" s="5"/>
      <c r="I5" s="5"/>
    </row>
    <row r="6" spans="1:10" x14ac:dyDescent="0.4">
      <c r="A6" s="8" t="s">
        <v>4</v>
      </c>
      <c r="B6" s="14"/>
      <c r="C6" s="106"/>
      <c r="D6" s="5"/>
      <c r="E6" s="5"/>
      <c r="F6" s="5"/>
      <c r="G6" s="5"/>
      <c r="H6" s="5"/>
      <c r="I6" s="5"/>
    </row>
    <row r="7" spans="1:10" x14ac:dyDescent="0.4">
      <c r="A7" s="47" t="s">
        <v>15</v>
      </c>
      <c r="B7" s="14"/>
      <c r="C7" s="106"/>
      <c r="D7" s="28"/>
      <c r="E7" s="5"/>
      <c r="F7" s="5"/>
      <c r="G7" s="5"/>
      <c r="H7" s="5"/>
      <c r="I7" s="5"/>
    </row>
    <row r="8" spans="1:10" x14ac:dyDescent="0.4">
      <c r="A8" s="8" t="s">
        <v>9</v>
      </c>
      <c r="B8" s="14"/>
      <c r="C8" s="106">
        <v>0</v>
      </c>
      <c r="D8" s="5"/>
      <c r="E8" s="5"/>
      <c r="F8" s="20"/>
      <c r="G8" s="5"/>
      <c r="H8" s="5"/>
      <c r="I8" s="48"/>
    </row>
    <row r="9" spans="1:10" x14ac:dyDescent="0.4">
      <c r="A9" s="8" t="s">
        <v>15</v>
      </c>
      <c r="B9" s="5"/>
      <c r="C9" s="12">
        <f>C7-C8</f>
        <v>0</v>
      </c>
      <c r="D9" s="5"/>
      <c r="E9" s="8" t="s">
        <v>16</v>
      </c>
      <c r="F9" s="12" t="e">
        <f>C9/I9</f>
        <v>#DIV/0!</v>
      </c>
      <c r="G9" s="5"/>
      <c r="H9" s="8" t="s">
        <v>87</v>
      </c>
      <c r="I9" s="48">
        <f>'Income and Expense Statement'!D11+'Income and Expense Statement'!D14</f>
        <v>0</v>
      </c>
    </row>
    <row r="10" spans="1:10" x14ac:dyDescent="0.4">
      <c r="A10" s="8" t="s">
        <v>19</v>
      </c>
      <c r="B10" s="5"/>
      <c r="C10" s="49" t="e">
        <f>'Income and Expense Statement'!F51/'Financing Overview'!C7</f>
        <v>#DIV/0!</v>
      </c>
      <c r="D10" s="5"/>
      <c r="E10" s="5"/>
      <c r="F10" s="20"/>
      <c r="G10" s="5"/>
      <c r="H10" s="5"/>
      <c r="I10" s="48"/>
    </row>
    <row r="11" spans="1:10" x14ac:dyDescent="0.4">
      <c r="A11" s="50" t="s">
        <v>22</v>
      </c>
      <c r="B11" s="5"/>
      <c r="D11" s="5"/>
      <c r="E11" s="5"/>
      <c r="F11" s="20"/>
      <c r="G11" s="5"/>
      <c r="H11" s="5"/>
      <c r="I11" s="48"/>
    </row>
    <row r="12" spans="1:10" x14ac:dyDescent="0.4">
      <c r="A12" s="5"/>
      <c r="B12" s="5"/>
      <c r="C12" s="5"/>
      <c r="D12" s="5"/>
      <c r="E12" s="5"/>
      <c r="F12" s="5"/>
      <c r="G12" s="5"/>
      <c r="H12" s="5"/>
      <c r="I12" s="5"/>
    </row>
    <row r="13" spans="1:10" ht="32.4" x14ac:dyDescent="0.4">
      <c r="A13" s="51" t="s">
        <v>26</v>
      </c>
      <c r="B13" s="21" t="s">
        <v>28</v>
      </c>
      <c r="C13" s="52" t="s">
        <v>29</v>
      </c>
      <c r="D13" s="52" t="s">
        <v>30</v>
      </c>
      <c r="E13" s="52" t="s">
        <v>31</v>
      </c>
      <c r="F13" s="52" t="s">
        <v>32</v>
      </c>
      <c r="G13" s="52" t="s">
        <v>33</v>
      </c>
      <c r="H13" s="52" t="s">
        <v>58</v>
      </c>
      <c r="I13" s="52" t="s">
        <v>28</v>
      </c>
    </row>
    <row r="14" spans="1:10" x14ac:dyDescent="0.4">
      <c r="A14" s="5"/>
      <c r="B14" s="5"/>
      <c r="C14" s="5"/>
      <c r="D14" s="53" t="s">
        <v>36</v>
      </c>
      <c r="E14" s="53" t="s">
        <v>38</v>
      </c>
      <c r="F14" s="5"/>
      <c r="G14" s="5"/>
      <c r="H14" s="5"/>
      <c r="I14" s="5"/>
    </row>
    <row r="15" spans="1:10" x14ac:dyDescent="0.4">
      <c r="A15" s="5"/>
      <c r="B15" s="7"/>
      <c r="C15" s="5"/>
      <c r="D15" s="7"/>
      <c r="E15" s="7"/>
      <c r="F15" s="7"/>
      <c r="G15" s="5"/>
      <c r="H15" s="5"/>
      <c r="I15" s="5"/>
    </row>
    <row r="16" spans="1:10" x14ac:dyDescent="0.4">
      <c r="A16" s="14" t="s">
        <v>39</v>
      </c>
      <c r="B16" s="105"/>
      <c r="C16" s="54">
        <f>C9*B16</f>
        <v>0</v>
      </c>
      <c r="D16" s="107"/>
      <c r="E16" s="107"/>
      <c r="F16" s="108"/>
      <c r="G16" s="55">
        <f t="shared" ref="G16:G17" si="0">IF(E16&gt;0,PMT(((1+(F16/200))^(1/6)-1),ABS(E16*12),-C16),0)</f>
        <v>0</v>
      </c>
      <c r="H16" s="12">
        <f t="shared" ref="H16:H17" si="1">G16*12</f>
        <v>0</v>
      </c>
      <c r="I16" s="56" t="e">
        <f>H16/'Income and Expense Statement'!F23</f>
        <v>#DIV/0!</v>
      </c>
    </row>
    <row r="17" spans="1:9" x14ac:dyDescent="0.4">
      <c r="A17" s="14" t="s">
        <v>50</v>
      </c>
      <c r="B17" s="105"/>
      <c r="C17" s="54">
        <f>B17*C9</f>
        <v>0</v>
      </c>
      <c r="D17" s="107"/>
      <c r="E17" s="107"/>
      <c r="F17" s="108"/>
      <c r="G17" s="55">
        <f t="shared" si="0"/>
        <v>0</v>
      </c>
      <c r="H17" s="12">
        <f t="shared" si="1"/>
        <v>0</v>
      </c>
      <c r="I17" s="56" t="e">
        <f>H17/'Income and Expense Statement'!F23</f>
        <v>#DIV/0!</v>
      </c>
    </row>
    <row r="18" spans="1:9" x14ac:dyDescent="0.4">
      <c r="A18" s="15"/>
      <c r="B18" s="57"/>
      <c r="C18" s="58"/>
      <c r="D18" s="59"/>
      <c r="E18" s="59"/>
      <c r="F18" s="60"/>
      <c r="G18" s="58"/>
      <c r="H18" s="16"/>
      <c r="I18" s="15"/>
    </row>
    <row r="19" spans="1:9" x14ac:dyDescent="0.4">
      <c r="A19" s="15" t="s">
        <v>34</v>
      </c>
      <c r="B19" s="33">
        <f t="shared" ref="B19:C19" si="2">SUM(B16:B18)</f>
        <v>0</v>
      </c>
      <c r="C19" s="32">
        <f t="shared" si="2"/>
        <v>0</v>
      </c>
      <c r="D19" s="15"/>
      <c r="E19" s="15"/>
      <c r="F19" s="15"/>
      <c r="G19" s="32">
        <f t="shared" ref="G19:H19" si="3">SUM(G16:G18)</f>
        <v>0</v>
      </c>
      <c r="H19" s="32">
        <f t="shared" si="3"/>
        <v>0</v>
      </c>
      <c r="I19" s="33" t="e">
        <f>H19/'Income and Expense Statement'!F23</f>
        <v>#DIV/0!</v>
      </c>
    </row>
    <row r="20" spans="1:9" x14ac:dyDescent="0.4">
      <c r="A20" s="15"/>
      <c r="B20" s="57"/>
      <c r="C20" s="57"/>
      <c r="D20" s="57"/>
      <c r="E20" s="57"/>
      <c r="F20" s="57"/>
      <c r="G20" s="57"/>
      <c r="H20" s="57"/>
      <c r="I20" s="57"/>
    </row>
    <row r="21" spans="1:9" x14ac:dyDescent="0.4">
      <c r="A21" s="15" t="s">
        <v>62</v>
      </c>
      <c r="B21" s="109">
        <v>0</v>
      </c>
      <c r="C21" s="110">
        <v>0</v>
      </c>
      <c r="D21" s="111">
        <v>0</v>
      </c>
      <c r="E21" s="111">
        <v>0</v>
      </c>
      <c r="F21" s="112">
        <v>0</v>
      </c>
      <c r="G21" s="55">
        <f t="shared" ref="G21" si="4">IF(E21&gt;0,PMT(((1+(F21/200))^(1/6)-1),ABS(E21*12),-C21),0)</f>
        <v>0</v>
      </c>
      <c r="H21" s="32">
        <f>G21*12</f>
        <v>0</v>
      </c>
      <c r="I21" s="33" t="e">
        <f>H21/'Income and Expense Statement'!F23</f>
        <v>#DIV/0!</v>
      </c>
    </row>
    <row r="22" spans="1:9" x14ac:dyDescent="0.4">
      <c r="A22" s="15"/>
      <c r="B22" s="81"/>
      <c r="C22" s="58"/>
      <c r="D22" s="59"/>
      <c r="E22" s="59"/>
      <c r="F22" s="61"/>
      <c r="G22" s="58"/>
      <c r="H22" s="16"/>
      <c r="I22" s="57"/>
    </row>
    <row r="23" spans="1:9" x14ac:dyDescent="0.4">
      <c r="A23" s="17" t="s">
        <v>67</v>
      </c>
      <c r="B23" s="105">
        <v>0</v>
      </c>
      <c r="C23" s="32">
        <f>C16*B23</f>
        <v>0</v>
      </c>
      <c r="D23" s="59">
        <v>0</v>
      </c>
      <c r="E23" s="59">
        <f t="shared" ref="E23:F23" si="5">E16</f>
        <v>0</v>
      </c>
      <c r="F23" s="62">
        <f t="shared" si="5"/>
        <v>0</v>
      </c>
      <c r="G23" s="63">
        <f>IF(E23&gt;0,PMT(((1+(F23/200))^(1/6)-1),ABS(E23*12),-C23),0)</f>
        <v>0</v>
      </c>
      <c r="H23" s="32">
        <f>G23*12</f>
        <v>0</v>
      </c>
      <c r="I23" s="33" t="e">
        <f>H23/'Income and Expense Statement'!F23</f>
        <v>#DIV/0!</v>
      </c>
    </row>
    <row r="24" spans="1:9" x14ac:dyDescent="0.4">
      <c r="A24" s="75"/>
      <c r="B24" s="76"/>
      <c r="C24" s="76"/>
      <c r="D24" s="77"/>
      <c r="E24" s="77"/>
      <c r="F24" s="139" t="s">
        <v>89</v>
      </c>
      <c r="G24" s="139"/>
      <c r="H24" s="76">
        <f>SUM(H21,H19)</f>
        <v>0</v>
      </c>
      <c r="I24" s="80"/>
    </row>
    <row r="25" spans="1:9" x14ac:dyDescent="0.4">
      <c r="A25" s="75"/>
      <c r="B25" s="76"/>
      <c r="C25" s="76"/>
      <c r="D25" s="77"/>
      <c r="E25" s="77"/>
      <c r="F25" s="78"/>
      <c r="G25" s="79"/>
      <c r="H25" s="76"/>
      <c r="I25" s="80"/>
    </row>
    <row r="26" spans="1:9" x14ac:dyDescent="0.4">
      <c r="A26" s="5"/>
      <c r="B26" s="31"/>
      <c r="C26" s="64"/>
      <c r="D26" s="48"/>
      <c r="E26" s="48"/>
      <c r="F26" s="65"/>
      <c r="G26" s="64"/>
      <c r="H26" s="20"/>
      <c r="I26" s="5"/>
    </row>
    <row r="27" spans="1:9" ht="21.6" x14ac:dyDescent="0.4">
      <c r="A27" s="5"/>
      <c r="B27" s="144" t="s">
        <v>72</v>
      </c>
      <c r="C27" s="144"/>
      <c r="D27" s="144"/>
      <c r="E27" s="144"/>
      <c r="F27" s="144"/>
      <c r="G27" s="144"/>
      <c r="H27" s="144"/>
      <c r="I27" s="5"/>
    </row>
    <row r="28" spans="1:9" x14ac:dyDescent="0.4">
      <c r="A28" s="5"/>
      <c r="B28" s="5"/>
      <c r="C28" s="5"/>
      <c r="D28" s="5"/>
      <c r="E28" s="5"/>
      <c r="F28" s="5"/>
      <c r="G28" s="5"/>
      <c r="H28" s="5"/>
      <c r="I28" s="5"/>
    </row>
    <row r="29" spans="1:9" x14ac:dyDescent="0.4">
      <c r="A29" s="5"/>
      <c r="B29" s="142" t="s">
        <v>73</v>
      </c>
      <c r="C29" s="142"/>
      <c r="D29" s="142"/>
      <c r="E29" s="140" t="s">
        <v>75</v>
      </c>
      <c r="F29" s="19">
        <f>'Income and Expense Statement'!F51</f>
        <v>0</v>
      </c>
      <c r="G29" s="140" t="s">
        <v>75</v>
      </c>
      <c r="H29" s="141" t="e">
        <f>F29/F30</f>
        <v>#DIV/0!</v>
      </c>
      <c r="I29" s="5"/>
    </row>
    <row r="30" spans="1:9" x14ac:dyDescent="0.4">
      <c r="A30" s="5"/>
      <c r="B30" s="143" t="s">
        <v>26</v>
      </c>
      <c r="C30" s="143"/>
      <c r="D30" s="143"/>
      <c r="E30" s="126"/>
      <c r="F30" s="34">
        <f>H19+H21+H23</f>
        <v>0</v>
      </c>
      <c r="G30" s="126"/>
      <c r="H30" s="126"/>
      <c r="I30" s="5"/>
    </row>
    <row r="31" spans="1:9" x14ac:dyDescent="0.4">
      <c r="A31" s="75"/>
      <c r="B31" s="75"/>
      <c r="C31" s="75"/>
      <c r="D31" s="75"/>
      <c r="E31" s="75"/>
      <c r="F31" s="75"/>
      <c r="G31" s="75"/>
      <c r="H31" s="75"/>
      <c r="I31" s="75"/>
    </row>
    <row r="32" spans="1:9" ht="18" x14ac:dyDescent="0.4">
      <c r="A32" s="90" t="s">
        <v>90</v>
      </c>
      <c r="B32" s="90"/>
      <c r="C32" s="91"/>
      <c r="D32" s="91"/>
      <c r="E32" s="91"/>
      <c r="F32" s="91"/>
      <c r="G32" s="91"/>
      <c r="H32" s="92">
        <f>'Income and Expense Statement'!F51-(H19+H21+H23)</f>
        <v>0</v>
      </c>
      <c r="I32" s="93" t="e">
        <f>H32/'Income and Expense Statement'!F23</f>
        <v>#DIV/0!</v>
      </c>
    </row>
    <row r="34" spans="7:9" ht="18" x14ac:dyDescent="0.4">
      <c r="G34" s="98"/>
      <c r="H34" s="98"/>
      <c r="I34" s="94"/>
    </row>
  </sheetData>
  <sheetProtection algorithmName="SHA-512" hashValue="El6egDtZHn1xbj5mrahXEtmhMZxdZxbZKw2IWSriZPoasJnFizT3q4pzlcr8jLyKjJcL9GF8E3FEi3bY/VfiaQ==" saltValue="RLtulUJoM0fzLZS8NkTovw==" spinCount="100000" sheet="1" objects="1" scenarios="1" selectLockedCells="1"/>
  <mergeCells count="9">
    <mergeCell ref="C1:I1"/>
    <mergeCell ref="F24:G24"/>
    <mergeCell ref="G29:G30"/>
    <mergeCell ref="E29:E30"/>
    <mergeCell ref="H29:H30"/>
    <mergeCell ref="A3:I3"/>
    <mergeCell ref="B29:D29"/>
    <mergeCell ref="B30:D30"/>
    <mergeCell ref="B27:H27"/>
  </mergeCells>
  <conditionalFormatting sqref="C10">
    <cfRule type="cellIs" dxfId="2" priority="1" operator="greaterThan">
      <formula>0.05</formula>
    </cfRule>
    <cfRule type="cellIs" dxfId="1" priority="2" operator="between">
      <formula>0.03</formula>
      <formula>0.05</formula>
    </cfRule>
    <cfRule type="cellIs" dxfId="0" priority="3" operator="lessThan">
      <formula>0.03</formula>
    </cfRule>
  </conditionalFormatting>
  <pageMargins left="0.7" right="0.7" top="0.75" bottom="0.75" header="0.3" footer="0.3"/>
  <pageSetup scale="60" orientation="portrait" r:id="rId1"/>
  <colBreaks count="1" manualBreakCount="1">
    <brk id="9"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29"/>
  <sheetViews>
    <sheetView showGridLines="0" tabSelected="1" zoomScale="115" zoomScaleNormal="115" workbookViewId="0">
      <selection activeCell="E9" sqref="E9"/>
    </sheetView>
  </sheetViews>
  <sheetFormatPr defaultColWidth="14.44140625" defaultRowHeight="16.2" x14ac:dyDescent="0.4"/>
  <cols>
    <col min="1" max="1" width="6.44140625" style="1" customWidth="1"/>
    <col min="2" max="4" width="14.44140625" style="1"/>
    <col min="5" max="5" width="15.5546875" style="1" bestFit="1" customWidth="1"/>
    <col min="6" max="6" width="4.33203125" style="1" customWidth="1"/>
    <col min="7" max="7" width="37.5546875" style="1" bestFit="1" customWidth="1"/>
    <col min="8" max="9" width="14.44140625" style="1"/>
    <col min="10" max="10" width="6.44140625" style="1" customWidth="1"/>
    <col min="11" max="11" width="49" style="1" bestFit="1" customWidth="1"/>
    <col min="12" max="16384" width="14.44140625" style="1"/>
  </cols>
  <sheetData>
    <row r="1" spans="1:11" s="3" customFormat="1" ht="99.75" customHeight="1" x14ac:dyDescent="0.25">
      <c r="A1" s="116"/>
      <c r="B1" s="116"/>
      <c r="C1" s="116"/>
      <c r="D1" s="116"/>
      <c r="E1" s="120" t="s">
        <v>88</v>
      </c>
      <c r="F1" s="120"/>
      <c r="G1" s="120"/>
      <c r="H1" s="120"/>
      <c r="I1" s="120"/>
      <c r="J1" s="4"/>
      <c r="K1" s="4"/>
    </row>
    <row r="3" spans="1:11" ht="27" x14ac:dyDescent="0.4">
      <c r="A3" s="3"/>
      <c r="B3" s="123" t="s">
        <v>0</v>
      </c>
      <c r="C3" s="124"/>
      <c r="D3" s="124"/>
      <c r="E3" s="124"/>
      <c r="F3" s="124"/>
      <c r="G3" s="124"/>
      <c r="H3" s="124"/>
      <c r="I3" s="124"/>
    </row>
    <row r="4" spans="1:11" x14ac:dyDescent="0.4">
      <c r="A4" s="3"/>
      <c r="B4" s="5"/>
      <c r="C4" s="5"/>
      <c r="D4" s="5"/>
      <c r="E4" s="5"/>
      <c r="F4" s="5"/>
      <c r="G4" s="5"/>
      <c r="H4" s="5"/>
      <c r="I4" s="5"/>
    </row>
    <row r="5" spans="1:11" x14ac:dyDescent="0.4">
      <c r="A5" s="3"/>
      <c r="B5" s="5"/>
      <c r="C5" s="5"/>
      <c r="D5" s="5"/>
      <c r="E5" s="5"/>
      <c r="F5" s="5"/>
      <c r="G5" s="5"/>
      <c r="H5" s="5"/>
      <c r="I5" s="5"/>
    </row>
    <row r="6" spans="1:11" x14ac:dyDescent="0.4">
      <c r="A6" s="3"/>
      <c r="B6" s="5"/>
      <c r="C6" s="125" t="s">
        <v>3</v>
      </c>
      <c r="D6" s="126"/>
      <c r="E6" s="40">
        <f>'Financing Overview'!C9-'Financing Overview'!C16</f>
        <v>0</v>
      </c>
      <c r="F6" s="5"/>
      <c r="G6" s="66" t="s">
        <v>5</v>
      </c>
      <c r="H6" s="5"/>
      <c r="I6" s="5"/>
    </row>
    <row r="7" spans="1:11" x14ac:dyDescent="0.4">
      <c r="A7" s="3"/>
      <c r="B7" s="5"/>
      <c r="C7" s="11"/>
      <c r="D7" s="11"/>
      <c r="E7" s="71"/>
      <c r="F7" s="5"/>
      <c r="G7" s="5"/>
      <c r="H7" s="7"/>
      <c r="I7" s="5"/>
    </row>
    <row r="8" spans="1:11" x14ac:dyDescent="0.4">
      <c r="A8" s="3"/>
      <c r="B8" s="5"/>
      <c r="C8" s="11"/>
      <c r="D8" s="47" t="s">
        <v>7</v>
      </c>
      <c r="E8" s="113">
        <v>0</v>
      </c>
      <c r="F8" s="5"/>
      <c r="G8" s="47" t="s">
        <v>10</v>
      </c>
      <c r="H8" s="113">
        <v>0</v>
      </c>
      <c r="I8" s="74" t="e">
        <f>H8/'Financing Overview'!$C$7</f>
        <v>#DIV/0!</v>
      </c>
    </row>
    <row r="9" spans="1:11" x14ac:dyDescent="0.4">
      <c r="A9" s="3"/>
      <c r="B9" s="5"/>
      <c r="C9" s="11"/>
      <c r="D9" s="47" t="s">
        <v>11</v>
      </c>
      <c r="E9" s="114">
        <v>0</v>
      </c>
      <c r="F9" s="5"/>
      <c r="G9" s="8" t="s">
        <v>12</v>
      </c>
      <c r="H9" s="114">
        <v>0</v>
      </c>
      <c r="I9" s="74" t="e">
        <f>H9/'Financing Overview'!$C$7</f>
        <v>#DIV/0!</v>
      </c>
    </row>
    <row r="10" spans="1:11" x14ac:dyDescent="0.4">
      <c r="A10" s="3"/>
      <c r="B10" s="5"/>
      <c r="C10" s="11"/>
      <c r="D10" s="8" t="s">
        <v>13</v>
      </c>
      <c r="E10" s="70">
        <f>'Financing Overview'!C8</f>
        <v>0</v>
      </c>
      <c r="F10" s="5"/>
      <c r="G10" s="47" t="s">
        <v>14</v>
      </c>
      <c r="H10" s="114">
        <v>0</v>
      </c>
      <c r="I10" s="74" t="e">
        <f>H10/'Financing Overview'!$C$7</f>
        <v>#DIV/0!</v>
      </c>
    </row>
    <row r="11" spans="1:11" x14ac:dyDescent="0.4">
      <c r="A11" s="3"/>
      <c r="B11" s="5"/>
      <c r="C11" s="67"/>
      <c r="D11" s="47" t="s">
        <v>17</v>
      </c>
      <c r="E11" s="114">
        <v>0</v>
      </c>
      <c r="F11" s="5"/>
      <c r="G11" s="47" t="s">
        <v>18</v>
      </c>
      <c r="H11" s="114">
        <v>0</v>
      </c>
      <c r="I11" s="74" t="e">
        <f>H11/'Financing Overview'!$C$7</f>
        <v>#DIV/0!</v>
      </c>
    </row>
    <row r="12" spans="1:11" x14ac:dyDescent="0.4">
      <c r="A12" s="3"/>
      <c r="B12" s="5"/>
      <c r="C12" s="11"/>
      <c r="D12" s="47" t="s">
        <v>20</v>
      </c>
      <c r="E12" s="114">
        <v>0</v>
      </c>
      <c r="F12" s="5"/>
      <c r="G12" s="47" t="s">
        <v>21</v>
      </c>
      <c r="H12" s="114">
        <v>0</v>
      </c>
      <c r="I12" s="74" t="e">
        <f>H12/'Financing Overview'!$C$7</f>
        <v>#DIV/0!</v>
      </c>
    </row>
    <row r="13" spans="1:11" x14ac:dyDescent="0.4">
      <c r="A13" s="3"/>
      <c r="B13" s="5"/>
      <c r="C13" s="67"/>
      <c r="D13" s="8" t="s">
        <v>23</v>
      </c>
      <c r="E13" s="40">
        <f>'Financing Overview'!C21</f>
        <v>0</v>
      </c>
      <c r="F13" s="5"/>
      <c r="G13" s="47" t="s">
        <v>27</v>
      </c>
      <c r="H13" s="113">
        <v>0</v>
      </c>
      <c r="I13" s="74" t="e">
        <f>H13/'Financing Overview'!$C$7</f>
        <v>#DIV/0!</v>
      </c>
    </row>
    <row r="14" spans="1:11" x14ac:dyDescent="0.4">
      <c r="A14" s="3"/>
      <c r="B14" s="5"/>
      <c r="C14" s="67"/>
      <c r="D14" s="8" t="s">
        <v>37</v>
      </c>
      <c r="E14" s="40">
        <f>E6-(SUM(E8:E13))</f>
        <v>0</v>
      </c>
      <c r="F14" s="5"/>
      <c r="G14" s="8" t="s">
        <v>40</v>
      </c>
      <c r="H14" s="114">
        <v>0</v>
      </c>
      <c r="I14" s="74" t="e">
        <f>H14/'Financing Overview'!$C$7</f>
        <v>#DIV/0!</v>
      </c>
    </row>
    <row r="15" spans="1:11" x14ac:dyDescent="0.4">
      <c r="A15" s="3"/>
      <c r="B15" s="5"/>
      <c r="C15" s="11"/>
      <c r="D15" s="8"/>
      <c r="E15" s="72"/>
      <c r="F15" s="5"/>
      <c r="G15" s="47" t="s">
        <v>42</v>
      </c>
      <c r="H15" s="114">
        <v>0</v>
      </c>
      <c r="I15" s="74" t="e">
        <f>H15/'Financing Overview'!$C$7</f>
        <v>#DIV/0!</v>
      </c>
    </row>
    <row r="16" spans="1:11" x14ac:dyDescent="0.4">
      <c r="A16" s="3"/>
      <c r="B16" s="14"/>
      <c r="C16" s="67"/>
      <c r="D16" s="8" t="s">
        <v>43</v>
      </c>
      <c r="E16" s="40">
        <f>E8+E9+E14</f>
        <v>0</v>
      </c>
      <c r="F16" s="5"/>
      <c r="G16" s="47" t="s">
        <v>44</v>
      </c>
      <c r="H16" s="114">
        <v>0</v>
      </c>
      <c r="I16" s="74" t="e">
        <f>H16/'Financing Overview'!$C$7</f>
        <v>#DIV/0!</v>
      </c>
    </row>
    <row r="17" spans="1:9" x14ac:dyDescent="0.4">
      <c r="A17" s="3"/>
      <c r="B17" s="5"/>
      <c r="C17" s="11"/>
      <c r="D17" s="8"/>
      <c r="E17" s="72"/>
      <c r="F17" s="5"/>
      <c r="G17" s="47" t="s">
        <v>47</v>
      </c>
      <c r="H17" s="113">
        <v>0</v>
      </c>
      <c r="I17" s="74" t="e">
        <f>H17/'Financing Overview'!$C$7</f>
        <v>#DIV/0!</v>
      </c>
    </row>
    <row r="18" spans="1:9" x14ac:dyDescent="0.4">
      <c r="A18" s="3"/>
      <c r="B18" s="14"/>
      <c r="C18" s="67"/>
      <c r="D18" s="8" t="s">
        <v>49</v>
      </c>
      <c r="E18" s="70">
        <f>H28</f>
        <v>0</v>
      </c>
      <c r="F18" s="5"/>
      <c r="G18" s="8" t="s">
        <v>51</v>
      </c>
      <c r="H18" s="114">
        <v>0</v>
      </c>
      <c r="I18" s="74" t="e">
        <f>H18/'Financing Overview'!$C$7</f>
        <v>#DIV/0!</v>
      </c>
    </row>
    <row r="19" spans="1:9" x14ac:dyDescent="0.4">
      <c r="A19" s="3"/>
      <c r="B19" s="5"/>
      <c r="C19" s="67"/>
      <c r="D19" s="47" t="s">
        <v>52</v>
      </c>
      <c r="E19" s="113">
        <v>0</v>
      </c>
      <c r="F19" s="68"/>
      <c r="G19" s="8" t="s">
        <v>53</v>
      </c>
      <c r="H19" s="114">
        <v>0</v>
      </c>
      <c r="I19" s="74" t="e">
        <f>H19/'Financing Overview'!$C$7</f>
        <v>#DIV/0!</v>
      </c>
    </row>
    <row r="20" spans="1:9" x14ac:dyDescent="0.4">
      <c r="A20" s="3"/>
      <c r="B20" s="14"/>
      <c r="C20" s="67"/>
      <c r="D20" s="47" t="s">
        <v>54</v>
      </c>
      <c r="E20" s="114">
        <f>-('Income and Expense Statement'!F23/12)</f>
        <v>0</v>
      </c>
      <c r="F20" s="5"/>
      <c r="G20" s="8" t="s">
        <v>55</v>
      </c>
      <c r="H20" s="114">
        <v>0</v>
      </c>
      <c r="I20" s="74" t="e">
        <f>H20/'Financing Overview'!$C$7</f>
        <v>#DIV/0!</v>
      </c>
    </row>
    <row r="21" spans="1:9" x14ac:dyDescent="0.4">
      <c r="A21" s="3"/>
      <c r="B21" s="5"/>
      <c r="C21" s="11"/>
      <c r="D21" s="119" t="s">
        <v>66</v>
      </c>
      <c r="E21" s="114">
        <v>0</v>
      </c>
      <c r="F21" s="5"/>
      <c r="G21" s="8"/>
      <c r="H21" s="114">
        <v>0</v>
      </c>
      <c r="I21" s="74" t="e">
        <f>H21/'Financing Overview'!$C$7</f>
        <v>#DIV/0!</v>
      </c>
    </row>
    <row r="22" spans="1:9" x14ac:dyDescent="0.4">
      <c r="A22" s="3"/>
      <c r="B22" s="5"/>
      <c r="C22" s="11"/>
      <c r="D22" s="119" t="s">
        <v>66</v>
      </c>
      <c r="E22" s="114">
        <v>0</v>
      </c>
      <c r="F22" s="5"/>
      <c r="G22" s="8" t="s">
        <v>61</v>
      </c>
      <c r="H22" s="113">
        <v>0</v>
      </c>
      <c r="I22" s="74" t="e">
        <f>H22/'Financing Overview'!$C$7</f>
        <v>#DIV/0!</v>
      </c>
    </row>
    <row r="23" spans="1:9" x14ac:dyDescent="0.4">
      <c r="A23" s="3"/>
      <c r="B23" s="5"/>
      <c r="C23" s="11"/>
      <c r="D23" s="119" t="s">
        <v>66</v>
      </c>
      <c r="E23" s="114">
        <v>0</v>
      </c>
      <c r="F23" s="5"/>
      <c r="G23" s="8"/>
      <c r="H23" s="114">
        <v>0</v>
      </c>
      <c r="I23" s="74" t="e">
        <f>H23/'Financing Overview'!$C$7</f>
        <v>#DIV/0!</v>
      </c>
    </row>
    <row r="24" spans="1:9" x14ac:dyDescent="0.4">
      <c r="A24" s="3"/>
      <c r="B24" s="5"/>
      <c r="C24" s="11"/>
      <c r="D24" s="119" t="s">
        <v>66</v>
      </c>
      <c r="E24" s="114">
        <v>0</v>
      </c>
      <c r="F24" s="5"/>
      <c r="G24" s="8" t="s">
        <v>64</v>
      </c>
      <c r="H24" s="114">
        <v>0</v>
      </c>
      <c r="I24" s="74" t="e">
        <f>H24/'Financing Overview'!$C$7</f>
        <v>#DIV/0!</v>
      </c>
    </row>
    <row r="25" spans="1:9" x14ac:dyDescent="0.4">
      <c r="A25" s="3"/>
      <c r="B25" s="5"/>
      <c r="C25" s="11"/>
      <c r="D25" s="119" t="s">
        <v>66</v>
      </c>
      <c r="E25" s="114">
        <v>0</v>
      </c>
      <c r="F25" s="5"/>
      <c r="G25" s="118" t="s">
        <v>66</v>
      </c>
      <c r="H25" s="114">
        <v>0</v>
      </c>
      <c r="I25" s="74" t="e">
        <f>H25/'Financing Overview'!$C$7</f>
        <v>#DIV/0!</v>
      </c>
    </row>
    <row r="26" spans="1:9" x14ac:dyDescent="0.4">
      <c r="A26" s="3"/>
      <c r="B26" s="5"/>
      <c r="C26" s="11"/>
      <c r="D26" s="119" t="s">
        <v>66</v>
      </c>
      <c r="E26" s="114">
        <v>0</v>
      </c>
      <c r="F26" s="5"/>
      <c r="G26" s="47" t="s">
        <v>69</v>
      </c>
      <c r="H26" s="115">
        <f>IF('Financing Overview'!C9&lt;=55000,('Financing Overview'!C9*0.005),(IF('Financing Overview'!C9&lt;=250000,((('Financing Overview'!C9-55000)*0.01)+275),(IF('Financing Overview'!C9&gt;250000,((('Financing Overview'!C9-250000)*0.015)+2225),"check")))))</f>
        <v>0</v>
      </c>
      <c r="I26" s="74" t="e">
        <f>H26/'Financing Overview'!$C$7</f>
        <v>#DIV/0!</v>
      </c>
    </row>
    <row r="27" spans="1:9" x14ac:dyDescent="0.4">
      <c r="A27" s="3"/>
      <c r="B27" s="15"/>
      <c r="C27" s="15"/>
      <c r="D27" s="51"/>
      <c r="E27" s="73"/>
      <c r="F27" s="5"/>
      <c r="G27" s="15"/>
      <c r="H27" s="16"/>
      <c r="I27" s="57"/>
    </row>
    <row r="28" spans="1:9" ht="36.6" thickBot="1" x14ac:dyDescent="0.45">
      <c r="A28" s="3"/>
      <c r="B28" s="69"/>
      <c r="C28" s="121" t="s">
        <v>94</v>
      </c>
      <c r="D28" s="122"/>
      <c r="E28" s="95">
        <f>SUM(E16:E27)</f>
        <v>0</v>
      </c>
      <c r="F28" s="14"/>
      <c r="G28" s="97" t="s">
        <v>95</v>
      </c>
      <c r="H28" s="95">
        <f t="shared" ref="H28:I28" si="0">SUM(H8:H26)</f>
        <v>0</v>
      </c>
      <c r="I28" s="96" t="e">
        <f t="shared" si="0"/>
        <v>#DIV/0!</v>
      </c>
    </row>
    <row r="29" spans="1:9" ht="16.8" thickTop="1" x14ac:dyDescent="0.4"/>
  </sheetData>
  <sheetProtection algorithmName="SHA-512" hashValue="E+M5xDz2retAlwjJo5ldHMkutKaGCUb34Q9+woqTD/GqPjxVPxQwqkjuYf9cx7pTv66fK5ASGTgACxmN6t06QQ==" saltValue="dOHjguqaRsm0nJnFS7xqkg==" spinCount="100000" sheet="1" objects="1" scenarios="1" selectLockedCells="1"/>
  <mergeCells count="4">
    <mergeCell ref="E1:I1"/>
    <mergeCell ref="C28:D28"/>
    <mergeCell ref="B3:I3"/>
    <mergeCell ref="C6:D6"/>
  </mergeCells>
  <pageMargins left="0.7" right="0.7" top="0.75" bottom="0.75" header="0.3" footer="0.3"/>
  <pageSetup scale="67" orientation="portrait" r:id="rId1"/>
  <colBreaks count="1" manualBreakCount="1">
    <brk id="9"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How to use this tool</vt:lpstr>
      <vt:lpstr>Income and Expense Statement</vt:lpstr>
      <vt:lpstr>Financing Overview</vt:lpstr>
      <vt:lpstr>Cash Requirements</vt:lpstr>
      <vt:lpstr>'Cash Requirements'!Print_Area</vt:lpstr>
      <vt:lpstr>'Financing Overview'!Print_Area</vt:lpstr>
      <vt:lpstr>'Income and Expense Statement'!Print_Area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Cashflow Analyser</dc:title>
  <dc:creator>Allen Rothwell</dc:creator>
  <cp:keywords>Cashflow analyser</cp:keywords>
  <cp:lastModifiedBy>m j</cp:lastModifiedBy>
  <dcterms:created xsi:type="dcterms:W3CDTF">2020-04-27T15:03:15Z</dcterms:created>
  <dcterms:modified xsi:type="dcterms:W3CDTF">2026-02-26T16:51:46Z</dcterms:modified>
</cp:coreProperties>
</file>