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onika\Documents\"/>
    </mc:Choice>
  </mc:AlternateContent>
  <xr:revisionPtr revIDLastSave="0" documentId="8_{30261229-3D27-4D92-B2D4-7E75CB85C766}" xr6:coauthVersionLast="46" xr6:coauthVersionMax="46" xr10:uidLastSave="{00000000-0000-0000-0000-000000000000}"/>
  <bookViews>
    <workbookView xWindow="-108" yWindow="-108" windowWidth="23256" windowHeight="12576" xr2:uid="{6E333564-E981-45B3-9965-339259161BB6}"/>
  </bookViews>
  <sheets>
    <sheet name="Data Input" sheetId="2" r:id="rId1"/>
    <sheet name="Comparables" sheetId="1" r:id="rId2"/>
    <sheet name="Garage" sheetId="3" state="hidden" r:id="rId3"/>
  </sheets>
  <externalReferences>
    <externalReference r:id="rId4"/>
  </externalReferences>
  <definedNames>
    <definedName name="Income_Categories">Garage[Select Garage Type]</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8" i="1" l="1"/>
  <c r="E31" i="2" s="1"/>
  <c r="E22" i="2"/>
  <c r="G18" i="2"/>
  <c r="I18" i="2" s="1"/>
  <c r="G16" i="2"/>
  <c r="I16" i="2" s="1"/>
  <c r="G14" i="2"/>
  <c r="I14" i="2" s="1"/>
  <c r="G10" i="2" l="1"/>
  <c r="I10" i="2" s="1"/>
  <c r="G12" i="2"/>
  <c r="I12" i="2" s="1"/>
  <c r="G8" i="2"/>
  <c r="I8" i="2" s="1"/>
  <c r="G6" i="2"/>
  <c r="K6" i="2" l="1"/>
  <c r="I6" i="2"/>
</calcChain>
</file>

<file path=xl/sharedStrings.xml><?xml version="1.0" encoding="utf-8"?>
<sst xmlns="http://schemas.openxmlformats.org/spreadsheetml/2006/main" count="52" uniqueCount="41">
  <si>
    <t>Validation</t>
  </si>
  <si>
    <t>Formatting</t>
  </si>
  <si>
    <t>Error Count</t>
  </si>
  <si>
    <t>Show Error</t>
  </si>
  <si>
    <t>Comparable Properties Analyzer</t>
  </si>
  <si>
    <t>Address</t>
  </si>
  <si>
    <t># of bedrooms</t>
  </si>
  <si>
    <t># of bathrooms</t>
  </si>
  <si>
    <t>Garage - None/S/D/T</t>
  </si>
  <si>
    <t>Sq. Ft.</t>
  </si>
  <si>
    <t>List Price</t>
  </si>
  <si>
    <t>Sale Price per Sq. Ft.</t>
  </si>
  <si>
    <t>Special Features</t>
  </si>
  <si>
    <t>Single</t>
  </si>
  <si>
    <t>Double</t>
  </si>
  <si>
    <t>Triple</t>
  </si>
  <si>
    <t>Select Garage Type</t>
  </si>
  <si>
    <t>None</t>
  </si>
  <si>
    <t>Sale Price</t>
  </si>
  <si>
    <t># of Bedrooms</t>
  </si>
  <si>
    <t># of Bathrooms</t>
  </si>
  <si>
    <t>Garage</t>
  </si>
  <si>
    <t>Sq Ft</t>
  </si>
  <si>
    <t>Sale Price per Sqft.</t>
  </si>
  <si>
    <t xml:space="preserve">Average Cost
Per SQFT = </t>
  </si>
  <si>
    <t>FMV</t>
  </si>
  <si>
    <t>Leave this line in</t>
  </si>
  <si>
    <t>Compared to Address</t>
  </si>
  <si>
    <r>
      <rPr>
        <b/>
        <sz val="8"/>
        <color theme="1"/>
        <rFont val="Montserrat Medium"/>
      </rPr>
      <t>Note:</t>
    </r>
    <r>
      <rPr>
        <sz val="8"/>
        <color theme="1"/>
        <rFont val="Montserrat Medium"/>
      </rPr>
      <t xml:space="preserve"> Ensure you have a minimum of 5 properties loaded in the Comparables tab to give you the best reflection of a FMV for your subject property.</t>
    </r>
  </si>
  <si>
    <r>
      <rPr>
        <sz val="11"/>
        <rFont val="Montserrat Medium"/>
      </rPr>
      <t>Instructions for completing calculations on this form</t>
    </r>
    <r>
      <rPr>
        <b/>
        <sz val="11"/>
        <rFont val="Montserrat"/>
      </rPr>
      <t xml:space="preserve">
</t>
    </r>
    <r>
      <rPr>
        <sz val="11"/>
        <rFont val="Montserrat"/>
      </rPr>
      <t xml:space="preserve">
1. Enter your properties 1 at a time pressing submit after each one. This will load them into the Comparables tab.
2. Be sure you have provided a minimum of 5 comparable homes in the same general neighbourhood
3. Load your Subject property below the orange box on the left. The FMV is calculated from the average sqft price from the properties you have loaded.
</t>
    </r>
    <r>
      <rPr>
        <sz val="11"/>
        <rFont val="Montserrat Medium"/>
      </rPr>
      <t>Data Input Tab</t>
    </r>
    <r>
      <rPr>
        <sz val="11"/>
        <rFont val="Montserrat"/>
      </rPr>
      <t xml:space="preserve"> - is used to enter your properties to compare. 
</t>
    </r>
    <r>
      <rPr>
        <sz val="11"/>
        <rFont val="Montserrat Medium"/>
      </rPr>
      <t>Comparables Tab</t>
    </r>
    <r>
      <rPr>
        <sz val="11"/>
        <rFont val="Montserrat"/>
      </rPr>
      <t xml:space="preserve"> -  Displays your comparable properties and the average cost per sqare foot. </t>
    </r>
  </si>
  <si>
    <t>10 Drury Lane</t>
  </si>
  <si>
    <t>separate entrance</t>
  </si>
  <si>
    <t>22 Caroline</t>
  </si>
  <si>
    <t>renovated legal duplex</t>
  </si>
  <si>
    <t>120 CHIEFTAIN Crescent</t>
  </si>
  <si>
    <t>legal duplex clean not upgraded</t>
  </si>
  <si>
    <t>legal duplex</t>
  </si>
  <si>
    <t>355 Leacock</t>
  </si>
  <si>
    <t>101 Moon Dr</t>
  </si>
  <si>
    <t>non legal duplex sold oct 2020</t>
  </si>
  <si>
    <t>10 wood street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</si>
</sst>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quot;$&quot;#,##0.00"/>
    <numFmt numFmtId="165" formatCode="0.0"/>
    <numFmt numFmtId="166" formatCode="&quot;$&quot;#,##0"/>
    <numFmt numFmtId="167" formatCode="_-* #,##0_-;\-* #,##0_-;_-* &quot;-&quot;??_-;_-@_-"/>
  </numFmts>
  <fonts count="18">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Montserrat SemiBold"/>
    </font>
    <font>
      <b/>
      <sz val="12"/>
      <color rgb="FFFFD700"/>
      <name val="Montserrat"/>
    </font>
    <font>
      <sz val="11"/>
      <name val="Calibri"/>
      <family val="2"/>
      <scheme val="minor"/>
    </font>
    <font>
      <sz val="11"/>
      <name val="Montserrat"/>
    </font>
    <font>
      <b/>
      <sz val="11"/>
      <name val="Montserrat"/>
    </font>
    <font>
      <sz val="11"/>
      <color theme="1"/>
      <name val="Montserrat Light"/>
    </font>
    <font>
      <b/>
      <sz val="26"/>
      <color rgb="FFFFD700"/>
      <name val="Montserrat SemiBold"/>
    </font>
    <font>
      <sz val="11"/>
      <color rgb="FFFFD700"/>
      <name val="Montserrat Medium"/>
    </font>
    <font>
      <sz val="11"/>
      <color theme="1"/>
      <name val="Montserrat Medium"/>
    </font>
    <font>
      <sz val="11"/>
      <name val="Montserrat Medium"/>
    </font>
    <font>
      <sz val="16"/>
      <color theme="1"/>
      <name val="Montserrat SemiBold"/>
    </font>
    <font>
      <sz val="8"/>
      <color theme="1"/>
      <name val="Montserrat Medium"/>
    </font>
    <font>
      <b/>
      <sz val="8"/>
      <color theme="1"/>
      <name val="Montserrat Medium"/>
    </font>
    <font>
      <sz val="12"/>
      <color rgb="FF2E3B61"/>
      <name val="Microsoft YaHei"/>
      <family val="2"/>
    </font>
  </fonts>
  <fills count="9">
    <fill>
      <patternFill patternType="none"/>
    </fill>
    <fill>
      <patternFill patternType="gray125"/>
    </fill>
    <fill>
      <patternFill patternType="solid">
        <fgColor theme="7" tint="0.59999389629810485"/>
        <bgColor indexed="65"/>
      </patternFill>
    </fill>
    <fill>
      <patternFill patternType="solid">
        <fgColor rgb="FF1C1C1C"/>
        <bgColor indexed="64"/>
      </patternFill>
    </fill>
    <fill>
      <patternFill patternType="solid">
        <fgColor theme="7" tint="0.79998168889431442"/>
        <bgColor indexed="64"/>
      </patternFill>
    </fill>
    <fill>
      <patternFill patternType="solid">
        <fgColor rgb="FFFFD700"/>
        <bgColor indexed="64"/>
      </patternFill>
    </fill>
    <fill>
      <patternFill patternType="solid">
        <fgColor rgb="FF161616"/>
        <bgColor indexed="64"/>
      </patternFill>
    </fill>
    <fill>
      <patternFill patternType="solid">
        <fgColor theme="5"/>
        <bgColor indexed="64"/>
      </patternFill>
    </fill>
    <fill>
      <patternFill patternType="solid">
        <fgColor theme="7" tint="0.59999389629810485"/>
        <bgColor indexed="64"/>
      </patternFill>
    </fill>
  </fills>
  <borders count="15">
    <border>
      <left/>
      <right/>
      <top/>
      <bottom/>
      <diagonal/>
    </border>
    <border>
      <left/>
      <right/>
      <top/>
      <bottom style="thin">
        <color rgb="FFFFD700"/>
      </bottom>
      <diagonal/>
    </border>
    <border>
      <left style="medium">
        <color rgb="FFFFD700"/>
      </left>
      <right style="medium">
        <color rgb="FFFFD700"/>
      </right>
      <top style="medium">
        <color rgb="FFFFD700"/>
      </top>
      <bottom style="medium">
        <color rgb="FFFFD700"/>
      </bottom>
      <diagonal/>
    </border>
    <border>
      <left style="medium">
        <color rgb="FFFFD700"/>
      </left>
      <right/>
      <top style="medium">
        <color rgb="FFFFD700"/>
      </top>
      <bottom/>
      <diagonal/>
    </border>
    <border>
      <left/>
      <right/>
      <top style="medium">
        <color rgb="FFFFD700"/>
      </top>
      <bottom/>
      <diagonal/>
    </border>
    <border>
      <left/>
      <right style="medium">
        <color rgb="FFFFD700"/>
      </right>
      <top style="medium">
        <color rgb="FFFFD700"/>
      </top>
      <bottom/>
      <diagonal/>
    </border>
    <border>
      <left style="medium">
        <color rgb="FFFFD700"/>
      </left>
      <right/>
      <top/>
      <bottom/>
      <diagonal/>
    </border>
    <border>
      <left/>
      <right style="medium">
        <color rgb="FFFFD700"/>
      </right>
      <top/>
      <bottom/>
      <diagonal/>
    </border>
    <border>
      <left/>
      <right/>
      <top/>
      <bottom style="medium">
        <color rgb="FFFFD700"/>
      </bottom>
      <diagonal/>
    </border>
    <border>
      <left style="thin">
        <color rgb="FF7F7F7F"/>
      </left>
      <right style="thin">
        <color rgb="FF7F7F7F"/>
      </right>
      <top/>
      <bottom/>
      <diagonal/>
    </border>
    <border>
      <left/>
      <right style="thin">
        <color rgb="FFFFD700"/>
      </right>
      <top/>
      <bottom/>
      <diagonal/>
    </border>
    <border>
      <left style="thin">
        <color rgb="FFFFD700"/>
      </left>
      <right style="thin">
        <color rgb="FFFFD700"/>
      </right>
      <top/>
      <bottom/>
      <diagonal/>
    </border>
    <border>
      <left style="thin">
        <color rgb="FFFFD700"/>
      </left>
      <right/>
      <top/>
      <bottom/>
      <diagonal/>
    </border>
    <border>
      <left style="medium">
        <color theme="1"/>
      </left>
      <right style="medium">
        <color theme="1"/>
      </right>
      <top style="medium">
        <color theme="1"/>
      </top>
      <bottom style="medium">
        <color theme="1"/>
      </bottom>
      <diagonal/>
    </border>
    <border>
      <left style="thin">
        <color rgb="FF7F7F7F"/>
      </left>
      <right style="thin">
        <color rgb="FF7F7F7F"/>
      </right>
      <top style="thin">
        <color rgb="FF7F7F7F"/>
      </top>
      <bottom/>
      <diagonal/>
    </border>
  </borders>
  <cellStyleXfs count="3">
    <xf numFmtId="0" fontId="0" fillId="0" borderId="0"/>
    <xf numFmtId="0" fontId="1" fillId="2" borderId="0" applyNumberFormat="0" applyBorder="0" applyAlignment="0" applyProtection="0"/>
    <xf numFmtId="43" fontId="1" fillId="0" borderId="0" applyFont="0" applyFill="0" applyBorder="0" applyAlignment="0" applyProtection="0"/>
  </cellStyleXfs>
  <cellXfs count="64">
    <xf numFmtId="0" fontId="0" fillId="0" borderId="0" xfId="0"/>
    <xf numFmtId="0" fontId="0" fillId="0" borderId="0" xfId="0" applyAlignment="1">
      <alignment horizontal="right"/>
    </xf>
    <xf numFmtId="0" fontId="0" fillId="4" borderId="3" xfId="0" applyFill="1" applyBorder="1"/>
    <xf numFmtId="0" fontId="0" fillId="4" borderId="4" xfId="0" applyFill="1" applyBorder="1" applyAlignment="1">
      <alignment horizontal="right"/>
    </xf>
    <xf numFmtId="0" fontId="0" fillId="4" borderId="4" xfId="0" applyFill="1" applyBorder="1"/>
    <xf numFmtId="0" fontId="0" fillId="4" borderId="5" xfId="0" applyFill="1" applyBorder="1"/>
    <xf numFmtId="0" fontId="0" fillId="4" borderId="6" xfId="0" applyFill="1" applyBorder="1"/>
    <xf numFmtId="0" fontId="0" fillId="4" borderId="0" xfId="0" applyFill="1" applyBorder="1" applyAlignment="1">
      <alignment horizontal="right"/>
    </xf>
    <xf numFmtId="0" fontId="0" fillId="4" borderId="7" xfId="0" applyFill="1" applyBorder="1"/>
    <xf numFmtId="0" fontId="4" fillId="4" borderId="0" xfId="0" applyFont="1" applyFill="1" applyBorder="1" applyAlignment="1">
      <alignment horizontal="right"/>
    </xf>
    <xf numFmtId="9" fontId="4" fillId="4" borderId="0" xfId="0" applyNumberFormat="1" applyFont="1" applyFill="1" applyBorder="1" applyAlignment="1">
      <alignment horizontal="right"/>
    </xf>
    <xf numFmtId="0" fontId="3" fillId="0" borderId="0" xfId="0" applyFont="1"/>
    <xf numFmtId="0" fontId="2" fillId="0" borderId="0" xfId="0" applyFont="1"/>
    <xf numFmtId="0" fontId="6" fillId="0" borderId="0" xfId="0" applyFont="1"/>
    <xf numFmtId="0" fontId="9" fillId="0" borderId="0" xfId="0" applyFont="1" applyAlignment="1">
      <alignment vertical="center"/>
    </xf>
    <xf numFmtId="0" fontId="9" fillId="0" borderId="0" xfId="0" applyFont="1"/>
    <xf numFmtId="14" fontId="9" fillId="0" borderId="0" xfId="0" applyNumberFormat="1" applyFont="1"/>
    <xf numFmtId="164" fontId="9" fillId="0" borderId="0" xfId="0" applyNumberFormat="1" applyFont="1"/>
    <xf numFmtId="165" fontId="9" fillId="0" borderId="0" xfId="0" applyNumberFormat="1" applyFont="1"/>
    <xf numFmtId="1" fontId="9" fillId="0" borderId="0" xfId="0" applyNumberFormat="1" applyFont="1"/>
    <xf numFmtId="0" fontId="12" fillId="0" borderId="0" xfId="0" applyFont="1" applyAlignment="1">
      <alignment horizontal="center" vertical="center" wrapText="1"/>
    </xf>
    <xf numFmtId="0" fontId="9" fillId="0" borderId="0" xfId="0" applyFont="1" applyAlignment="1">
      <alignment horizontal="center" vertical="center"/>
    </xf>
    <xf numFmtId="0" fontId="13" fillId="5" borderId="1" xfId="0" applyFont="1" applyFill="1" applyBorder="1" applyAlignment="1">
      <alignment horizontal="center" vertical="center" wrapText="1"/>
    </xf>
    <xf numFmtId="0" fontId="7" fillId="0" borderId="0" xfId="0" applyFont="1" applyAlignment="1">
      <alignment horizontal="left" vertical="center" wrapText="1"/>
    </xf>
    <xf numFmtId="0" fontId="7" fillId="0" borderId="0" xfId="0" applyFont="1" applyAlignment="1">
      <alignment vertical="center" wrapText="1"/>
    </xf>
    <xf numFmtId="164" fontId="13" fillId="5" borderId="1" xfId="0" applyNumberFormat="1" applyFont="1" applyFill="1" applyBorder="1" applyAlignment="1">
      <alignment horizontal="center" vertical="center" wrapText="1"/>
    </xf>
    <xf numFmtId="0" fontId="9" fillId="0" borderId="2" xfId="0" applyNumberFormat="1" applyFont="1" applyFill="1" applyBorder="1" applyAlignment="1" applyProtection="1">
      <alignment wrapText="1"/>
      <protection locked="0"/>
    </xf>
    <xf numFmtId="0" fontId="9" fillId="4" borderId="0" xfId="0" applyFont="1" applyFill="1" applyBorder="1"/>
    <xf numFmtId="1" fontId="9" fillId="0" borderId="2" xfId="0" applyNumberFormat="1" applyFont="1" applyFill="1" applyBorder="1" applyAlignment="1" applyProtection="1">
      <alignment wrapText="1"/>
      <protection locked="0"/>
    </xf>
    <xf numFmtId="164" fontId="9" fillId="0" borderId="2" xfId="0" applyNumberFormat="1" applyFont="1" applyFill="1" applyBorder="1" applyProtection="1">
      <protection locked="0"/>
    </xf>
    <xf numFmtId="167" fontId="9" fillId="0" borderId="2" xfId="2" applyNumberFormat="1" applyFont="1" applyFill="1" applyBorder="1" applyProtection="1">
      <protection locked="0"/>
    </xf>
    <xf numFmtId="166" fontId="9" fillId="0" borderId="2" xfId="0" applyNumberFormat="1" applyFont="1" applyFill="1" applyBorder="1" applyProtection="1">
      <protection locked="0"/>
    </xf>
    <xf numFmtId="164" fontId="9" fillId="0" borderId="2" xfId="0" applyNumberFormat="1" applyFont="1" applyFill="1" applyBorder="1" applyAlignment="1" applyProtection="1">
      <alignment wrapText="1"/>
      <protection locked="0"/>
    </xf>
    <xf numFmtId="0" fontId="12" fillId="4" borderId="0" xfId="0" applyFont="1" applyFill="1" applyBorder="1" applyAlignment="1">
      <alignment horizontal="right"/>
    </xf>
    <xf numFmtId="14" fontId="11" fillId="3" borderId="10" xfId="0" applyNumberFormat="1" applyFont="1" applyFill="1" applyBorder="1" applyAlignment="1">
      <alignment horizontal="center" vertical="center" wrapText="1"/>
    </xf>
    <xf numFmtId="1" fontId="11" fillId="3" borderId="11"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4" fontId="11" fillId="3" borderId="11" xfId="0" applyNumberFormat="1" applyFont="1" applyFill="1" applyBorder="1" applyAlignment="1">
      <alignment horizontal="center" vertical="center" wrapText="1"/>
    </xf>
    <xf numFmtId="164" fontId="11" fillId="3" borderId="12" xfId="0" applyNumberFormat="1" applyFont="1" applyFill="1" applyBorder="1" applyAlignment="1">
      <alignment horizontal="center" vertical="center" wrapText="1"/>
    </xf>
    <xf numFmtId="14" fontId="9" fillId="2" borderId="0" xfId="1" applyNumberFormat="1" applyFont="1" applyBorder="1" applyAlignment="1">
      <alignment horizontal="center" vertical="center"/>
    </xf>
    <xf numFmtId="1" fontId="9" fillId="2" borderId="0" xfId="1" applyNumberFormat="1" applyFont="1" applyBorder="1" applyAlignment="1">
      <alignment horizontal="center" vertical="center"/>
    </xf>
    <xf numFmtId="165" fontId="9" fillId="2" borderId="0" xfId="1" applyNumberFormat="1" applyFont="1" applyBorder="1" applyAlignment="1">
      <alignment horizontal="center" vertical="center"/>
    </xf>
    <xf numFmtId="167" fontId="9" fillId="2" borderId="0" xfId="2" applyNumberFormat="1" applyFont="1" applyFill="1" applyBorder="1" applyAlignment="1">
      <alignment horizontal="center" vertical="center"/>
    </xf>
    <xf numFmtId="166" fontId="9" fillId="2" borderId="0" xfId="2" applyNumberFormat="1" applyFont="1" applyFill="1" applyBorder="1" applyAlignment="1">
      <alignment horizontal="center" vertical="center"/>
    </xf>
    <xf numFmtId="0" fontId="9" fillId="2" borderId="0" xfId="2" applyNumberFormat="1" applyFont="1" applyFill="1" applyBorder="1" applyAlignment="1">
      <alignment horizontal="center" vertical="center"/>
    </xf>
    <xf numFmtId="164" fontId="14" fillId="2" borderId="9" xfId="1" applyNumberFormat="1" applyFont="1" applyBorder="1" applyAlignment="1">
      <alignment horizontal="center" vertical="center"/>
    </xf>
    <xf numFmtId="0" fontId="0" fillId="6" borderId="0" xfId="0" applyFill="1"/>
    <xf numFmtId="0" fontId="0" fillId="6" borderId="0" xfId="0" applyFill="1" applyAlignment="1">
      <alignment horizontal="right"/>
    </xf>
    <xf numFmtId="43" fontId="9" fillId="5" borderId="13" xfId="2" applyNumberFormat="1" applyFont="1" applyFill="1" applyBorder="1"/>
    <xf numFmtId="167" fontId="9" fillId="5" borderId="13" xfId="2" applyNumberFormat="1" applyFont="1" applyFill="1" applyBorder="1"/>
    <xf numFmtId="14" fontId="9" fillId="2" borderId="14" xfId="1" applyNumberFormat="1" applyFont="1" applyBorder="1" applyAlignment="1">
      <alignment horizontal="center" vertical="center"/>
    </xf>
    <xf numFmtId="1" fontId="9" fillId="2" borderId="14" xfId="1" applyNumberFormat="1" applyFont="1" applyBorder="1" applyAlignment="1">
      <alignment horizontal="center" vertical="center"/>
    </xf>
    <xf numFmtId="165" fontId="9" fillId="2" borderId="14" xfId="1" applyNumberFormat="1" applyFont="1" applyBorder="1" applyAlignment="1">
      <alignment horizontal="center" vertical="center"/>
    </xf>
    <xf numFmtId="164" fontId="9" fillId="2" borderId="14" xfId="1" applyNumberFormat="1" applyFont="1" applyBorder="1" applyAlignment="1">
      <alignment horizontal="center" vertical="center"/>
    </xf>
    <xf numFmtId="167" fontId="9" fillId="8" borderId="14" xfId="2" applyNumberFormat="1" applyFont="1" applyFill="1" applyBorder="1" applyAlignment="1">
      <alignment horizontal="center" vertical="center"/>
    </xf>
    <xf numFmtId="166" fontId="9" fillId="8" borderId="14" xfId="2" applyNumberFormat="1" applyFont="1" applyFill="1" applyBorder="1" applyAlignment="1">
      <alignment horizontal="center" vertical="center"/>
    </xf>
    <xf numFmtId="0" fontId="9" fillId="8" borderId="14" xfId="2" applyNumberFormat="1" applyFont="1" applyFill="1" applyBorder="1" applyAlignment="1">
      <alignment horizontal="center" vertical="center"/>
    </xf>
    <xf numFmtId="0" fontId="17" fillId="0" borderId="0" xfId="0" applyFont="1"/>
    <xf numFmtId="0" fontId="17" fillId="0" borderId="0" xfId="0" applyFont="1" applyProtection="1">
      <protection locked="0"/>
    </xf>
    <xf numFmtId="0" fontId="5" fillId="6" borderId="0" xfId="0" applyFont="1" applyFill="1" applyAlignment="1">
      <alignment horizontal="center" vertical="center"/>
    </xf>
    <xf numFmtId="0" fontId="5" fillId="6" borderId="8" xfId="0" applyFont="1" applyFill="1" applyBorder="1" applyAlignment="1">
      <alignment horizontal="center" vertical="center"/>
    </xf>
    <xf numFmtId="0" fontId="7" fillId="0" borderId="0" xfId="0" applyFont="1" applyAlignment="1">
      <alignment horizontal="left" vertical="center" wrapText="1"/>
    </xf>
    <xf numFmtId="0" fontId="15" fillId="7" borderId="0" xfId="0" applyFont="1" applyFill="1" applyBorder="1" applyAlignment="1">
      <alignment horizontal="center" vertical="center" wrapText="1"/>
    </xf>
    <xf numFmtId="0" fontId="10" fillId="6" borderId="0" xfId="0" applyFont="1" applyFill="1" applyBorder="1" applyAlignment="1">
      <alignment horizontal="center" vertical="center" wrapText="1"/>
    </xf>
  </cellXfs>
  <cellStyles count="3">
    <cellStyle name="40% - Accent4" xfId="1" builtinId="43"/>
    <cellStyle name="Comma" xfId="2" builtinId="3"/>
    <cellStyle name="Normal" xfId="0" builtinId="0"/>
  </cellStyles>
  <dxfs count="17">
    <dxf>
      <font>
        <strike val="0"/>
        <outline val="0"/>
        <shadow val="0"/>
        <u val="none"/>
        <vertAlign val="baseline"/>
        <name val="Montserrat Light"/>
        <scheme val="none"/>
      </font>
      <numFmt numFmtId="166" formatCode="&quot;$&quot;#,##0"/>
      <fill>
        <patternFill patternType="solid">
          <fgColor indexed="64"/>
          <bgColor theme="7" tint="0.59999389629810485"/>
        </patternFill>
      </fill>
      <alignment horizontal="center" vertical="center" textRotation="0" wrapText="0" indent="0" justifyLastLine="0" shrinkToFit="0" readingOrder="0"/>
      <border diagonalUp="0" diagonalDown="0">
        <left style="thin">
          <color rgb="FF7F7F7F"/>
        </left>
        <right style="thin">
          <color rgb="FF7F7F7F"/>
        </right>
        <top style="thin">
          <color rgb="FF7F7F7F"/>
        </top>
        <bottom/>
        <vertical/>
        <horizontal/>
      </border>
    </dxf>
    <dxf>
      <font>
        <strike val="0"/>
        <outline val="0"/>
        <shadow val="0"/>
        <u val="none"/>
        <vertAlign val="baseline"/>
        <name val="Montserrat Light"/>
        <scheme val="none"/>
      </font>
      <numFmt numFmtId="0" formatCode="General"/>
      <fill>
        <patternFill patternType="solid">
          <fgColor indexed="64"/>
          <bgColor theme="7" tint="0.59999389629810485"/>
        </patternFill>
      </fill>
      <alignment horizontal="center" vertical="center" textRotation="0" wrapText="0" indent="0" justifyLastLine="0" shrinkToFit="0" readingOrder="0"/>
      <border diagonalUp="0" diagonalDown="0">
        <left style="thin">
          <color rgb="FF7F7F7F"/>
        </left>
        <right style="thin">
          <color rgb="FF7F7F7F"/>
        </right>
        <top style="thin">
          <color rgb="FF7F7F7F"/>
        </top>
        <bottom/>
        <vertical/>
        <horizontal/>
      </border>
    </dxf>
    <dxf>
      <font>
        <strike val="0"/>
        <outline val="0"/>
        <shadow val="0"/>
        <u val="none"/>
        <vertAlign val="baseline"/>
        <name val="Montserrat Light"/>
        <scheme val="none"/>
      </font>
      <numFmt numFmtId="166" formatCode="&quot;$&quot;#,##0"/>
      <fill>
        <patternFill patternType="solid">
          <fgColor indexed="64"/>
          <bgColor theme="7" tint="0.59999389629810485"/>
        </patternFill>
      </fill>
      <alignment horizontal="center" vertical="center" textRotation="0" wrapText="0" indent="0" justifyLastLine="0" shrinkToFit="0" readingOrder="0"/>
      <border diagonalUp="0" diagonalDown="0">
        <left style="thin">
          <color rgb="FF7F7F7F"/>
        </left>
        <right style="thin">
          <color rgb="FF7F7F7F"/>
        </right>
        <top style="thin">
          <color rgb="FF7F7F7F"/>
        </top>
        <bottom/>
        <vertical/>
        <horizontal/>
      </border>
    </dxf>
    <dxf>
      <font>
        <strike val="0"/>
        <outline val="0"/>
        <shadow val="0"/>
        <u val="none"/>
        <vertAlign val="baseline"/>
        <name val="Montserrat Light"/>
        <scheme val="none"/>
      </font>
      <numFmt numFmtId="166" formatCode="&quot;$&quot;#,##0"/>
      <fill>
        <patternFill patternType="solid">
          <fgColor indexed="64"/>
          <bgColor theme="7" tint="0.59999389629810485"/>
        </patternFill>
      </fill>
      <alignment horizontal="center" vertical="center" textRotation="0" wrapText="0" indent="0" justifyLastLine="0" shrinkToFit="0" readingOrder="0"/>
      <border diagonalUp="0" diagonalDown="0">
        <left style="thin">
          <color rgb="FF7F7F7F"/>
        </left>
        <right style="thin">
          <color rgb="FF7F7F7F"/>
        </right>
        <top style="thin">
          <color rgb="FF7F7F7F"/>
        </top>
        <bottom/>
        <vertical/>
        <horizontal/>
      </border>
    </dxf>
    <dxf>
      <font>
        <strike val="0"/>
        <outline val="0"/>
        <shadow val="0"/>
        <u val="none"/>
        <vertAlign val="baseline"/>
        <name val="Montserrat Light"/>
        <scheme val="none"/>
      </font>
      <numFmt numFmtId="167" formatCode="_-* #,##0_-;\-* #,##0_-;_-* &quot;-&quot;??_-;_-@_-"/>
      <fill>
        <patternFill patternType="solid">
          <fgColor indexed="64"/>
          <bgColor theme="7" tint="0.59999389629810485"/>
        </patternFill>
      </fill>
      <alignment horizontal="center" vertical="center" textRotation="0" wrapText="0" indent="0" justifyLastLine="0" shrinkToFit="0" readingOrder="0"/>
      <border diagonalUp="0" diagonalDown="0">
        <left style="thin">
          <color rgb="FF7F7F7F"/>
        </left>
        <right style="thin">
          <color rgb="FF7F7F7F"/>
        </right>
        <top style="thin">
          <color rgb="FF7F7F7F"/>
        </top>
        <bottom/>
        <vertical/>
        <horizontal/>
      </border>
    </dxf>
    <dxf>
      <font>
        <strike val="0"/>
        <outline val="0"/>
        <shadow val="0"/>
        <u val="none"/>
        <vertAlign val="baseline"/>
        <name val="Montserrat Light"/>
        <scheme val="none"/>
      </font>
      <numFmt numFmtId="164" formatCode="&quot;$&quot;#,##0.00"/>
      <alignment horizontal="center" vertical="center" textRotation="0" wrapText="0" indent="0" justifyLastLine="0" shrinkToFit="0" readingOrder="0"/>
      <border diagonalUp="0" diagonalDown="0">
        <left style="thin">
          <color rgb="FF7F7F7F"/>
        </left>
        <right style="thin">
          <color rgb="FF7F7F7F"/>
        </right>
        <top style="thin">
          <color rgb="FF7F7F7F"/>
        </top>
        <bottom/>
        <vertical/>
        <horizontal/>
      </border>
    </dxf>
    <dxf>
      <font>
        <strike val="0"/>
        <outline val="0"/>
        <shadow val="0"/>
        <u val="none"/>
        <vertAlign val="baseline"/>
        <name val="Montserrat Light"/>
        <scheme val="none"/>
      </font>
      <numFmt numFmtId="165" formatCode="0.0"/>
      <alignment horizontal="center" vertical="center" textRotation="0" wrapText="0" indent="0" justifyLastLine="0" shrinkToFit="0" readingOrder="0"/>
      <border diagonalUp="0" diagonalDown="0">
        <left style="thin">
          <color rgb="FF7F7F7F"/>
        </left>
        <right style="thin">
          <color rgb="FF7F7F7F"/>
        </right>
        <top style="thin">
          <color rgb="FF7F7F7F"/>
        </top>
        <bottom/>
        <vertical/>
        <horizontal/>
      </border>
    </dxf>
    <dxf>
      <font>
        <strike val="0"/>
        <outline val="0"/>
        <shadow val="0"/>
        <u val="none"/>
        <vertAlign val="baseline"/>
        <name val="Montserrat Light"/>
        <scheme val="none"/>
      </font>
      <numFmt numFmtId="1" formatCode="0"/>
      <alignment horizontal="center" vertical="center" textRotation="0" wrapText="0" indent="0" justifyLastLine="0" shrinkToFit="0" readingOrder="0"/>
      <border diagonalUp="0" diagonalDown="0">
        <left style="thin">
          <color rgb="FF7F7F7F"/>
        </left>
        <right style="thin">
          <color rgb="FF7F7F7F"/>
        </right>
        <top style="thin">
          <color rgb="FF7F7F7F"/>
        </top>
        <bottom/>
        <vertical/>
        <horizontal/>
      </border>
    </dxf>
    <dxf>
      <font>
        <strike val="0"/>
        <outline val="0"/>
        <shadow val="0"/>
        <u val="none"/>
        <vertAlign val="baseline"/>
        <name val="Montserrat Light"/>
        <scheme val="none"/>
      </font>
      <numFmt numFmtId="19" formatCode="yyyy/mm/dd"/>
      <alignment horizontal="center" vertical="center" textRotation="0" wrapText="0" indent="0" justifyLastLine="0" shrinkToFit="0" readingOrder="0"/>
      <border diagonalUp="0" diagonalDown="0">
        <left style="thin">
          <color rgb="FF7F7F7F"/>
        </left>
        <right style="thin">
          <color rgb="FF7F7F7F"/>
        </right>
        <top style="thin">
          <color rgb="FF7F7F7F"/>
        </top>
        <bottom/>
        <vertical/>
        <horizontal/>
      </border>
    </dxf>
    <dxf>
      <border outline="0">
        <top style="thin">
          <color rgb="FF7F7F7F"/>
        </top>
      </border>
    </dxf>
    <dxf>
      <border outline="0">
        <top style="thin">
          <color rgb="FFFFD700"/>
        </top>
        <bottom style="thin">
          <color rgb="FF7F7F7F"/>
        </bottom>
      </border>
    </dxf>
    <dxf>
      <font>
        <strike val="0"/>
        <outline val="0"/>
        <shadow val="0"/>
        <u val="none"/>
        <vertAlign val="baseline"/>
        <name val="Montserrat Light"/>
        <scheme val="none"/>
      </font>
      <fill>
        <patternFill patternType="solid">
          <fgColor indexed="64"/>
          <bgColor theme="7" tint="0.59999389629810485"/>
        </patternFill>
      </fill>
      <alignment horizontal="center" vertical="center" textRotation="0" wrapText="0" indent="0" justifyLastLine="0" shrinkToFit="0" readingOrder="0"/>
    </dxf>
    <dxf>
      <border>
        <bottom style="thin">
          <color rgb="FF7F7F7F"/>
        </bottom>
      </border>
    </dxf>
    <dxf>
      <font>
        <b val="0"/>
        <strike val="0"/>
        <outline val="0"/>
        <shadow val="0"/>
        <u val="none"/>
        <vertAlign val="baseline"/>
        <sz val="11"/>
        <name val="Montserrat Medium"/>
        <scheme val="none"/>
      </font>
      <alignment horizontal="center" vertical="center" textRotation="0" wrapText="1" indent="0" justifyLastLine="0" shrinkToFit="0" readingOrder="0"/>
    </dxf>
    <dxf>
      <fill>
        <patternFill>
          <bgColor rgb="FFFF7C80"/>
        </patternFill>
      </fill>
    </dxf>
    <dxf>
      <fill>
        <patternFill>
          <bgColor rgb="FFFF7C80"/>
        </patternFill>
      </fill>
    </dxf>
    <dxf>
      <fill>
        <patternFill>
          <bgColor rgb="FFFF7C80"/>
        </patternFill>
      </fill>
    </dxf>
  </dxfs>
  <tableStyles count="0" defaultTableStyle="TableStyleMedium2" defaultPivotStyle="PivotStyleLight16"/>
  <colors>
    <mruColors>
      <color rgb="FF161616"/>
      <color rgb="FFFFD700"/>
      <color rgb="FF343434"/>
      <color rgb="FFFF7C80"/>
      <color rgb="FF1C1C1C"/>
      <color rgb="FF292929"/>
      <color rgb="FF36363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4</xdr:col>
      <xdr:colOff>1440120</xdr:colOff>
      <xdr:row>22</xdr:row>
      <xdr:rowOff>102779</xdr:rowOff>
    </xdr:from>
    <xdr:to>
      <xdr:col>4</xdr:col>
      <xdr:colOff>2379484</xdr:colOff>
      <xdr:row>23</xdr:row>
      <xdr:rowOff>183175</xdr:rowOff>
    </xdr:to>
    <xdr:sp macro="[0]!Validate_Form" textlink="">
      <xdr:nvSpPr>
        <xdr:cNvPr id="3" name="Rectangle: Rounded Corners 2">
          <a:extLst>
            <a:ext uri="{FF2B5EF4-FFF2-40B4-BE49-F238E27FC236}">
              <a16:creationId xmlns:a16="http://schemas.microsoft.com/office/drawing/2014/main" id="{3B6B2599-1759-4240-86C3-ADA3F584CFA1}"/>
            </a:ext>
          </a:extLst>
        </xdr:cNvPr>
        <xdr:cNvSpPr/>
      </xdr:nvSpPr>
      <xdr:spPr>
        <a:xfrm>
          <a:off x="3682158" y="3927433"/>
          <a:ext cx="939364" cy="307530"/>
        </a:xfrm>
        <a:prstGeom prst="roundRect">
          <a:avLst/>
        </a:prstGeom>
        <a:solidFill>
          <a:schemeClr val="tx1"/>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solidFill>
                <a:srgbClr val="FFD700"/>
              </a:solidFill>
              <a:latin typeface="Montserrat SemiBold" panose="00000700000000000000" pitchFamily="2" charset="0"/>
            </a:rPr>
            <a:t>Submit</a:t>
          </a:r>
        </a:p>
      </xdr:txBody>
    </xdr:sp>
    <xdr:clientData/>
  </xdr:twoCellAnchor>
  <xdr:twoCellAnchor editAs="oneCell">
    <xdr:from>
      <xdr:col>1</xdr:col>
      <xdr:colOff>0</xdr:colOff>
      <xdr:row>0</xdr:row>
      <xdr:rowOff>2</xdr:rowOff>
    </xdr:from>
    <xdr:to>
      <xdr:col>2</xdr:col>
      <xdr:colOff>1146285</xdr:colOff>
      <xdr:row>3</xdr:row>
      <xdr:rowOff>210628</xdr:rowOff>
    </xdr:to>
    <xdr:pic>
      <xdr:nvPicPr>
        <xdr:cNvPr id="4" name="Picture 3">
          <a:extLst>
            <a:ext uri="{FF2B5EF4-FFF2-40B4-BE49-F238E27FC236}">
              <a16:creationId xmlns:a16="http://schemas.microsoft.com/office/drawing/2014/main" id="{AD665AD4-A0A1-4965-868D-E1AB855053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5258" y="2"/>
          <a:ext cx="1550276" cy="782126"/>
        </a:xfrm>
        <a:prstGeom prst="rect">
          <a:avLst/>
        </a:prstGeom>
      </xdr:spPr>
    </xdr:pic>
    <xdr:clientData/>
  </xdr:twoCellAnchor>
  <xdr:twoCellAnchor>
    <xdr:from>
      <xdr:col>5</xdr:col>
      <xdr:colOff>76200</xdr:colOff>
      <xdr:row>6</xdr:row>
      <xdr:rowOff>0</xdr:rowOff>
    </xdr:from>
    <xdr:to>
      <xdr:col>5</xdr:col>
      <xdr:colOff>279400</xdr:colOff>
      <xdr:row>6</xdr:row>
      <xdr:rowOff>203200</xdr:rowOff>
    </xdr:to>
    <xdr:sp macro="[1]!dp_core.gridDP_Click" textlink="">
      <xdr:nvSpPr>
        <xdr:cNvPr id="5" name="Rectangle 4">
          <a:extLst>
            <a:ext uri="{FF2B5EF4-FFF2-40B4-BE49-F238E27FC236}">
              <a16:creationId xmlns:a16="http://schemas.microsoft.com/office/drawing/2014/main" id="{CE152A9D-9161-4A7E-A22B-AADCED6AA06A}"/>
            </a:ext>
          </a:extLst>
        </xdr:cNvPr>
        <xdr:cNvSpPr/>
      </xdr:nvSpPr>
      <xdr:spPr>
        <a:xfrm>
          <a:off x="4543425" y="1219200"/>
          <a:ext cx="203200" cy="203200"/>
        </a:xfrm>
        <a:prstGeom prst="rect">
          <a:avLst/>
        </a:prstGeom>
        <a:blipFill dpi="0" rotWithShape="1">
          <a:blip xmlns:r="http://schemas.openxmlformats.org/officeDocument/2006/relationships" r:embed="rId2"/>
          <a:srcRect/>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oneCell">
    <xdr:from>
      <xdr:col>7</xdr:col>
      <xdr:colOff>674077</xdr:colOff>
      <xdr:row>21</xdr:row>
      <xdr:rowOff>219808</xdr:rowOff>
    </xdr:from>
    <xdr:to>
      <xdr:col>7</xdr:col>
      <xdr:colOff>3231173</xdr:colOff>
      <xdr:row>28</xdr:row>
      <xdr:rowOff>177467</xdr:rowOff>
    </xdr:to>
    <xdr:pic>
      <xdr:nvPicPr>
        <xdr:cNvPr id="8" name="Picture 7" descr="How to Accurately Determine After Repair Value?">
          <a:extLst>
            <a:ext uri="{FF2B5EF4-FFF2-40B4-BE49-F238E27FC236}">
              <a16:creationId xmlns:a16="http://schemas.microsoft.com/office/drawing/2014/main" id="{2EFD6281-D624-45EF-B838-2DA9DDE5E4FA}"/>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191250" y="3802673"/>
          <a:ext cx="2557096" cy="17161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1</xdr:row>
      <xdr:rowOff>9526</xdr:rowOff>
    </xdr:from>
    <xdr:to>
      <xdr:col>0</xdr:col>
      <xdr:colOff>1866135</xdr:colOff>
      <xdr:row>5</xdr:row>
      <xdr:rowOff>0</xdr:rowOff>
    </xdr:to>
    <xdr:pic>
      <xdr:nvPicPr>
        <xdr:cNvPr id="3" name="Picture 2">
          <a:extLst>
            <a:ext uri="{FF2B5EF4-FFF2-40B4-BE49-F238E27FC236}">
              <a16:creationId xmlns:a16="http://schemas.microsoft.com/office/drawing/2014/main" id="{41C4EA5E-0F66-4886-B4A4-59329BBA445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1" y="238126"/>
          <a:ext cx="1789934" cy="9048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gram%20Files%20(x86)/Microsoft%20Office/root/Office16/xlstart/samradapps_datepicker.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amradapps_datepicker"/>
    </sheetNames>
    <definedNames>
      <definedName name="dp_core.gridDP_Click"/>
    </definedNames>
    <sheetDataSet>
      <sheetData sheetId="0"/>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597AA9-EE3F-4870-8C8F-00F2B79054FE}" name="Table2" displayName="Table2" ref="A8:I17" totalsRowShown="0" headerRowDxfId="13" dataDxfId="11" headerRowBorderDxfId="12" tableBorderDxfId="10" totalsRowBorderDxfId="9" dataCellStyle="Comma">
  <tableColumns count="9">
    <tableColumn id="1" xr3:uid="{B9DE8EF6-C9B0-4F81-B1A8-A49B4B4DBBF0}" name="Address" dataDxfId="8" dataCellStyle="40% - Accent4"/>
    <tableColumn id="2" xr3:uid="{61E3DA56-E498-4550-821B-2F700CB851D5}" name="# of Bedrooms" dataDxfId="7" dataCellStyle="40% - Accent4"/>
    <tableColumn id="3" xr3:uid="{7D21412F-4339-4022-8D7E-D854A620A3A6}" name="# of Bathrooms" dataDxfId="6" dataCellStyle="40% - Accent4"/>
    <tableColumn id="4" xr3:uid="{C0C439DE-9106-4984-B120-438575F8BDD2}" name="Garage" dataDxfId="5" dataCellStyle="40% - Accent4"/>
    <tableColumn id="5" xr3:uid="{EB28813A-CBCB-40E0-B21E-D4E4CECE1E9D}" name="Sq Ft" dataDxfId="4" dataCellStyle="Comma"/>
    <tableColumn id="6" xr3:uid="{F54DED04-75BB-4922-A176-8D5BC2D66C97}" name="List Price" dataDxfId="3" dataCellStyle="Comma"/>
    <tableColumn id="7" xr3:uid="{EB159605-78A7-4D1B-82BC-4935E3C703E2}" name="Sale Price" dataDxfId="2" dataCellStyle="Comma"/>
    <tableColumn id="8" xr3:uid="{A8BF8F19-4AD6-4FC2-B731-9FEFF1ACD572}" name="Special Features" dataDxfId="1" dataCellStyle="Comma"/>
    <tableColumn id="9" xr3:uid="{08E3BADA-A860-4FC6-B67F-8A1E9ADF4899}" name="Sale Price per Sqft." dataDxfId="0"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CAF770-56BC-40CC-84A2-F4513D8D9BF3}" name="Garage" displayName="Garage" ref="A1:A20" totalsRowShown="0">
  <autoFilter ref="A1:A20" xr:uid="{D305DECE-F6E4-4962-86BF-9464A0962465}"/>
  <tableColumns count="1">
    <tableColumn id="1" xr3:uid="{E9CC1A3D-5259-4055-9DED-27E16147E862}" name="Select Garage Typ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02693-8C4D-4C66-9D3B-73355C524A42}">
  <sheetPr codeName="Sheet1"/>
  <dimension ref="B1:N32"/>
  <sheetViews>
    <sheetView showGridLines="0" showRowColHeaders="0" tabSelected="1" zoomScale="130" zoomScaleNormal="130" workbookViewId="0">
      <selection activeCell="E29" sqref="E29"/>
    </sheetView>
  </sheetViews>
  <sheetFormatPr defaultRowHeight="14.4"/>
  <cols>
    <col min="1" max="1" width="6.33203125" customWidth="1"/>
    <col min="2" max="2" width="6.109375" customWidth="1"/>
    <col min="3" max="3" width="18.33203125" style="1" customWidth="1"/>
    <col min="4" max="4" width="3" style="1" customWidth="1"/>
    <col min="5" max="5" width="36" customWidth="1"/>
    <col min="6" max="6" width="4" customWidth="1"/>
    <col min="7" max="7" width="9.109375" style="11"/>
    <col min="8" max="8" width="61.109375" style="13" customWidth="1"/>
    <col min="9" max="9" width="9.5546875" style="11" customWidth="1"/>
    <col min="10" max="10" width="9.109375" style="11"/>
    <col min="11" max="11" width="11" style="11" bestFit="1" customWidth="1"/>
    <col min="12" max="12" width="10.5546875" style="11" bestFit="1" customWidth="1"/>
    <col min="13" max="14" width="9.109375" style="13"/>
  </cols>
  <sheetData>
    <row r="1" spans="2:12" ht="15" customHeight="1">
      <c r="B1" s="46"/>
      <c r="C1" s="47"/>
      <c r="D1" s="59" t="s">
        <v>4</v>
      </c>
      <c r="E1" s="59"/>
      <c r="F1" s="59"/>
    </row>
    <row r="2" spans="2:12" ht="15" customHeight="1">
      <c r="B2" s="46"/>
      <c r="C2" s="47"/>
      <c r="D2" s="59"/>
      <c r="E2" s="59"/>
      <c r="F2" s="59"/>
    </row>
    <row r="3" spans="2:12" ht="15" customHeight="1">
      <c r="B3" s="46"/>
      <c r="C3" s="47"/>
      <c r="D3" s="59"/>
      <c r="E3" s="59"/>
      <c r="F3" s="59"/>
      <c r="H3" s="61" t="s">
        <v>29</v>
      </c>
    </row>
    <row r="4" spans="2:12" ht="17.25" customHeight="1" thickBot="1">
      <c r="B4" s="46"/>
      <c r="C4" s="47"/>
      <c r="D4" s="60"/>
      <c r="E4" s="60"/>
      <c r="F4" s="60"/>
      <c r="H4" s="61"/>
    </row>
    <row r="5" spans="2:12" ht="7.5" customHeight="1">
      <c r="B5" s="2"/>
      <c r="C5" s="3"/>
      <c r="D5" s="3"/>
      <c r="E5" s="4"/>
      <c r="F5" s="5"/>
      <c r="G5" s="12" t="s">
        <v>0</v>
      </c>
      <c r="H5" s="61"/>
      <c r="I5" s="12" t="s">
        <v>1</v>
      </c>
      <c r="K5" s="12" t="s">
        <v>2</v>
      </c>
      <c r="L5" s="12" t="s">
        <v>3</v>
      </c>
    </row>
    <row r="6" spans="2:12" ht="17.399999999999999">
      <c r="B6" s="6"/>
      <c r="C6" s="33" t="s">
        <v>5</v>
      </c>
      <c r="D6" s="9"/>
      <c r="E6" s="58"/>
      <c r="F6" s="8"/>
      <c r="G6" s="11" t="b">
        <f>LEN(E6)&gt;0</f>
        <v>0</v>
      </c>
      <c r="H6" s="61"/>
      <c r="I6" s="11" t="b">
        <f>AND(NOT(G6),$L$6)</f>
        <v>0</v>
      </c>
      <c r="K6" s="11">
        <f>COUNTIF(G6:G18,FALSE)</f>
        <v>7</v>
      </c>
      <c r="L6" s="11">
        <v>0</v>
      </c>
    </row>
    <row r="7" spans="2:12" ht="7.5" customHeight="1" thickBot="1">
      <c r="B7" s="6"/>
      <c r="C7" s="33"/>
      <c r="D7" s="9"/>
      <c r="E7" s="27"/>
      <c r="F7" s="8"/>
      <c r="H7" s="61"/>
    </row>
    <row r="8" spans="2:12" ht="15" thickBot="1">
      <c r="B8" s="6"/>
      <c r="C8" s="33" t="s">
        <v>6</v>
      </c>
      <c r="D8" s="9"/>
      <c r="E8" s="28"/>
      <c r="F8" s="8"/>
      <c r="G8" s="11" t="b">
        <f>AND(LEN(E8)&gt;0,LEN(E8)&lt;100)</f>
        <v>0</v>
      </c>
      <c r="H8" s="61"/>
      <c r="I8" s="11" t="b">
        <f t="shared" ref="I8:I18" si="0">AND(NOT(G8),$L$6)</f>
        <v>0</v>
      </c>
    </row>
    <row r="9" spans="2:12" ht="7.5" customHeight="1" thickBot="1">
      <c r="B9" s="6"/>
      <c r="C9" s="33"/>
      <c r="D9" s="9"/>
      <c r="E9" s="27"/>
      <c r="F9" s="8"/>
      <c r="H9" s="61"/>
    </row>
    <row r="10" spans="2:12" ht="15" thickBot="1">
      <c r="B10" s="6"/>
      <c r="C10" s="33" t="s">
        <v>7</v>
      </c>
      <c r="D10" s="9"/>
      <c r="E10" s="28"/>
      <c r="F10" s="8"/>
      <c r="G10" s="11" t="b">
        <f>LEN(E10)&gt;0</f>
        <v>0</v>
      </c>
      <c r="H10" s="61"/>
      <c r="I10" s="11" t="b">
        <f t="shared" si="0"/>
        <v>0</v>
      </c>
    </row>
    <row r="11" spans="2:12" ht="7.5" customHeight="1" thickBot="1">
      <c r="B11" s="6"/>
      <c r="C11" s="33"/>
      <c r="D11" s="9"/>
      <c r="E11" s="27"/>
      <c r="F11" s="8"/>
      <c r="H11" s="61"/>
    </row>
    <row r="12" spans="2:12" ht="15" thickBot="1">
      <c r="B12" s="6"/>
      <c r="C12" s="33" t="s">
        <v>8</v>
      </c>
      <c r="D12" s="9"/>
      <c r="E12" s="29"/>
      <c r="F12" s="8"/>
      <c r="G12" s="11" t="b">
        <f>LEN(E12)&gt;0</f>
        <v>0</v>
      </c>
      <c r="H12" s="61"/>
      <c r="I12" s="11" t="b">
        <f t="shared" si="0"/>
        <v>0</v>
      </c>
    </row>
    <row r="13" spans="2:12" ht="7.5" customHeight="1" thickBot="1">
      <c r="B13" s="6"/>
      <c r="C13" s="33"/>
      <c r="D13" s="9"/>
      <c r="E13" s="27"/>
      <c r="F13" s="8"/>
      <c r="H13" s="61"/>
    </row>
    <row r="14" spans="2:12" ht="15" thickBot="1">
      <c r="B14" s="6"/>
      <c r="C14" s="33" t="s">
        <v>9</v>
      </c>
      <c r="D14" s="9"/>
      <c r="E14" s="30"/>
      <c r="F14" s="8"/>
      <c r="G14" s="11" t="b">
        <f>LEN(E14)&gt;0</f>
        <v>0</v>
      </c>
      <c r="H14" s="61"/>
      <c r="I14" s="11" t="b">
        <f t="shared" si="0"/>
        <v>0</v>
      </c>
    </row>
    <row r="15" spans="2:12" ht="7.5" customHeight="1" thickBot="1">
      <c r="B15" s="6"/>
      <c r="C15" s="33"/>
      <c r="D15" s="9"/>
      <c r="E15" s="27"/>
      <c r="F15" s="8"/>
      <c r="H15" s="61"/>
    </row>
    <row r="16" spans="2:12" ht="15" thickBot="1">
      <c r="B16" s="6"/>
      <c r="C16" s="33" t="s">
        <v>10</v>
      </c>
      <c r="D16" s="9"/>
      <c r="E16" s="31"/>
      <c r="F16" s="8"/>
      <c r="G16" s="11" t="b">
        <f>LEN(E16)&gt;0</f>
        <v>0</v>
      </c>
      <c r="H16" s="61"/>
      <c r="I16" s="11" t="b">
        <f t="shared" si="0"/>
        <v>0</v>
      </c>
    </row>
    <row r="17" spans="2:9" ht="7.5" customHeight="1" thickBot="1">
      <c r="B17" s="6"/>
      <c r="C17" s="33"/>
      <c r="D17" s="9"/>
      <c r="E17" s="27"/>
      <c r="F17" s="8"/>
      <c r="H17" s="61"/>
    </row>
    <row r="18" spans="2:9" ht="15" thickBot="1">
      <c r="B18" s="6"/>
      <c r="C18" s="33" t="s">
        <v>18</v>
      </c>
      <c r="D18" s="9"/>
      <c r="E18" s="31"/>
      <c r="F18" s="8"/>
      <c r="G18" s="11" t="b">
        <f>LEN(E18)&gt;0</f>
        <v>0</v>
      </c>
      <c r="H18" s="61"/>
      <c r="I18" s="11" t="b">
        <f t="shared" si="0"/>
        <v>0</v>
      </c>
    </row>
    <row r="19" spans="2:9" ht="7.5" customHeight="1" thickBot="1">
      <c r="B19" s="6"/>
      <c r="C19" s="33"/>
      <c r="D19" s="9"/>
      <c r="E19" s="27"/>
      <c r="F19" s="8"/>
      <c r="H19" s="61"/>
    </row>
    <row r="20" spans="2:9" ht="15" thickBot="1">
      <c r="B20" s="6"/>
      <c r="C20" s="33" t="s">
        <v>12</v>
      </c>
      <c r="D20" s="9"/>
      <c r="E20" s="32"/>
      <c r="F20" s="8"/>
      <c r="H20" s="61"/>
    </row>
    <row r="21" spans="2:9" ht="7.5" customHeight="1" thickBot="1">
      <c r="B21" s="6"/>
      <c r="C21" s="33"/>
      <c r="D21" s="9"/>
      <c r="E21" s="27"/>
      <c r="F21" s="8"/>
      <c r="H21" s="61"/>
    </row>
    <row r="22" spans="2:9" ht="15" thickBot="1">
      <c r="B22" s="6"/>
      <c r="C22" s="33" t="s">
        <v>11</v>
      </c>
      <c r="D22" s="10"/>
      <c r="E22" s="48" t="str">
        <f>IFERROR((E18/E14),"")</f>
        <v/>
      </c>
      <c r="F22" s="8"/>
      <c r="H22" s="61"/>
    </row>
    <row r="23" spans="2:9">
      <c r="B23" s="6"/>
      <c r="C23" s="33"/>
      <c r="D23" s="33"/>
      <c r="E23" s="33"/>
      <c r="F23" s="8"/>
      <c r="H23" s="23"/>
    </row>
    <row r="24" spans="2:9" ht="22.5" customHeight="1">
      <c r="B24" s="6"/>
      <c r="C24" s="33"/>
      <c r="D24" s="9"/>
      <c r="E24" s="27"/>
      <c r="F24" s="8"/>
      <c r="H24" s="24"/>
    </row>
    <row r="25" spans="2:9" ht="48.75" customHeight="1">
      <c r="B25" s="6"/>
      <c r="C25" s="62" t="s">
        <v>28</v>
      </c>
      <c r="D25" s="62"/>
      <c r="E25" s="62"/>
      <c r="F25" s="8"/>
    </row>
    <row r="26" spans="2:9" ht="7.5" customHeight="1" thickBot="1">
      <c r="B26" s="6"/>
      <c r="C26" s="33"/>
      <c r="D26" s="9"/>
      <c r="E26" s="27"/>
      <c r="F26" s="8"/>
      <c r="H26" s="11"/>
    </row>
    <row r="27" spans="2:9" ht="15" customHeight="1" thickBot="1">
      <c r="B27" s="6"/>
      <c r="C27" s="33" t="s">
        <v>27</v>
      </c>
      <c r="D27" s="7"/>
      <c r="E27" s="26" t="s">
        <v>40</v>
      </c>
      <c r="F27" s="8"/>
      <c r="H27" s="11"/>
    </row>
    <row r="28" spans="2:9" ht="7.5" customHeight="1" thickBot="1">
      <c r="B28" s="6"/>
      <c r="C28" s="33"/>
      <c r="D28" s="9"/>
      <c r="E28" s="27"/>
      <c r="F28" s="8"/>
      <c r="H28" s="11"/>
    </row>
    <row r="29" spans="2:9" ht="15" customHeight="1" thickBot="1">
      <c r="B29" s="6"/>
      <c r="C29" s="33" t="s">
        <v>9</v>
      </c>
      <c r="D29" s="7"/>
      <c r="E29" s="30">
        <v>1350</v>
      </c>
      <c r="F29" s="8"/>
      <c r="H29" s="11"/>
    </row>
    <row r="30" spans="2:9" ht="7.5" customHeight="1" thickBot="1">
      <c r="B30" s="6"/>
      <c r="C30" s="33"/>
      <c r="D30" s="9"/>
      <c r="E30" s="27"/>
      <c r="F30" s="8"/>
      <c r="H30" s="11"/>
    </row>
    <row r="31" spans="2:9" ht="15" customHeight="1" thickBot="1">
      <c r="B31" s="6"/>
      <c r="C31" s="33" t="s">
        <v>25</v>
      </c>
      <c r="D31" s="7"/>
      <c r="E31" s="49">
        <f>IF((IFERROR((Comparables!K8*'Data Input'!E29),""))=0,"",(IFERROR((Comparables!K8*'Data Input'!E29),"")))</f>
        <v>682823.36123921582</v>
      </c>
      <c r="F31" s="8"/>
    </row>
    <row r="32" spans="2:9" ht="7.5" customHeight="1">
      <c r="B32" s="6"/>
      <c r="C32" s="33"/>
      <c r="D32" s="9"/>
      <c r="E32" s="27"/>
      <c r="F32" s="8"/>
      <c r="H32" s="11"/>
    </row>
  </sheetData>
  <sheetProtection algorithmName="SHA-512" hashValue="ovHvGmkG3I7vHwmLQBneYgfFZbRMID6GNmNpT6690rn+QRwlP7pXHqq3vxJZq+4dnP/Xu1noIUUS4GA3DNbVtg==" saltValue="FpcX8AlceNJBscN0ECr2rg==" spinCount="100000" sheet="1" objects="1" scenarios="1" selectLockedCells="1"/>
  <mergeCells count="3">
    <mergeCell ref="D1:F4"/>
    <mergeCell ref="H3:H22"/>
    <mergeCell ref="C25:E25"/>
  </mergeCells>
  <conditionalFormatting sqref="E8 E12 E14 E16 E20 E10 E18">
    <cfRule type="expression" dxfId="16" priority="5">
      <formula>$I8</formula>
    </cfRule>
  </conditionalFormatting>
  <conditionalFormatting sqref="E29">
    <cfRule type="expression" dxfId="15" priority="1">
      <formula>#REF!</formula>
    </cfRule>
  </conditionalFormatting>
  <conditionalFormatting sqref="E27">
    <cfRule type="expression" dxfId="14" priority="2">
      <formula>#REF!</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57A9CEC-CE67-4AB9-8F50-3ED07AC4D1BE}">
          <x14:formula1>
            <xm:f>Garage!$A$1:$A$5</xm:f>
          </x14:formula1>
          <xm:sqref>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26A1-CE7A-4C4F-A62D-D170BEA44E99}">
  <sheetPr codeName="Sheet2"/>
  <dimension ref="A1:K17"/>
  <sheetViews>
    <sheetView workbookViewId="0">
      <pane ySplit="8" topLeftCell="A9" activePane="bottomLeft" state="frozen"/>
      <selection pane="bottomLeft" activeCell="I13" sqref="I13"/>
    </sheetView>
  </sheetViews>
  <sheetFormatPr defaultColWidth="9.109375" defaultRowHeight="13.8"/>
  <cols>
    <col min="1" max="1" width="28" style="16" customWidth="1"/>
    <col min="2" max="2" width="15.6640625" style="19" customWidth="1"/>
    <col min="3" max="3" width="17.109375" style="18" customWidth="1"/>
    <col min="4" max="4" width="14.5546875" style="17" bestFit="1" customWidth="1"/>
    <col min="5" max="5" width="12.109375" style="17" bestFit="1" customWidth="1"/>
    <col min="6" max="6" width="17.33203125" style="15" bestFit="1" customWidth="1"/>
    <col min="7" max="7" width="19.33203125" style="15" bestFit="1" customWidth="1"/>
    <col min="8" max="8" width="26.44140625" style="15" bestFit="1" customWidth="1"/>
    <col min="9" max="9" width="15.88671875" style="15" customWidth="1"/>
    <col min="10" max="10" width="18.33203125" style="15" customWidth="1"/>
    <col min="11" max="11" width="10.88671875" style="15" bestFit="1" customWidth="1"/>
    <col min="12" max="14" width="9.109375" style="15"/>
    <col min="15" max="15" width="12.33203125" style="15" bestFit="1" customWidth="1"/>
    <col min="16" max="16384" width="9.109375" style="15"/>
  </cols>
  <sheetData>
    <row r="1" spans="1:11" ht="18" customHeight="1">
      <c r="A1" s="63" t="s">
        <v>4</v>
      </c>
      <c r="B1" s="63"/>
      <c r="C1" s="63"/>
      <c r="D1" s="63"/>
      <c r="E1" s="63"/>
      <c r="F1" s="63"/>
      <c r="G1" s="63"/>
      <c r="H1" s="63"/>
      <c r="I1" s="63"/>
      <c r="J1" s="14"/>
      <c r="K1" s="14"/>
    </row>
    <row r="2" spans="1:11" ht="18" customHeight="1">
      <c r="A2" s="63"/>
      <c r="B2" s="63"/>
      <c r="C2" s="63"/>
      <c r="D2" s="63"/>
      <c r="E2" s="63"/>
      <c r="F2" s="63"/>
      <c r="G2" s="63"/>
      <c r="H2" s="63"/>
      <c r="I2" s="63"/>
      <c r="J2" s="14"/>
      <c r="K2" s="14"/>
    </row>
    <row r="3" spans="1:11" ht="18" customHeight="1">
      <c r="A3" s="63"/>
      <c r="B3" s="63"/>
      <c r="C3" s="63"/>
      <c r="D3" s="63"/>
      <c r="E3" s="63"/>
      <c r="F3" s="63"/>
      <c r="G3" s="63"/>
      <c r="H3" s="63"/>
      <c r="I3" s="63"/>
      <c r="J3" s="14"/>
      <c r="K3" s="14"/>
    </row>
    <row r="4" spans="1:11" ht="18" customHeight="1">
      <c r="A4" s="63"/>
      <c r="B4" s="63"/>
      <c r="C4" s="63"/>
      <c r="D4" s="63"/>
      <c r="E4" s="63"/>
      <c r="F4" s="63"/>
      <c r="G4" s="63"/>
      <c r="H4" s="63"/>
      <c r="I4" s="63"/>
      <c r="J4" s="14"/>
      <c r="K4" s="14"/>
    </row>
    <row r="5" spans="1:11" ht="18" customHeight="1">
      <c r="A5" s="63"/>
      <c r="B5" s="63"/>
      <c r="C5" s="63"/>
      <c r="D5" s="63"/>
      <c r="E5" s="63"/>
      <c r="F5" s="63"/>
      <c r="G5" s="63"/>
      <c r="H5" s="63"/>
      <c r="I5" s="63"/>
      <c r="J5" s="14"/>
      <c r="K5" s="14"/>
    </row>
    <row r="6" spans="1:11" ht="18" customHeight="1">
      <c r="A6" s="63"/>
      <c r="B6" s="63"/>
      <c r="C6" s="63"/>
      <c r="D6" s="63"/>
      <c r="E6" s="63"/>
      <c r="F6" s="63"/>
      <c r="G6" s="63"/>
      <c r="H6" s="63"/>
      <c r="I6" s="63"/>
      <c r="J6" s="14"/>
      <c r="K6" s="14"/>
    </row>
    <row r="7" spans="1:11" ht="18" customHeight="1">
      <c r="A7" s="63"/>
      <c r="B7" s="63"/>
      <c r="C7" s="63"/>
      <c r="D7" s="63"/>
      <c r="E7" s="63"/>
      <c r="F7" s="63"/>
      <c r="G7" s="63"/>
      <c r="H7" s="63"/>
      <c r="I7" s="63"/>
    </row>
    <row r="8" spans="1:11" s="20" customFormat="1" ht="27.6">
      <c r="A8" s="34" t="s">
        <v>5</v>
      </c>
      <c r="B8" s="35" t="s">
        <v>19</v>
      </c>
      <c r="C8" s="36" t="s">
        <v>20</v>
      </c>
      <c r="D8" s="37" t="s">
        <v>21</v>
      </c>
      <c r="E8" s="37" t="s">
        <v>22</v>
      </c>
      <c r="F8" s="37" t="s">
        <v>10</v>
      </c>
      <c r="G8" s="37" t="s">
        <v>18</v>
      </c>
      <c r="H8" s="37" t="s">
        <v>12</v>
      </c>
      <c r="I8" s="38" t="s">
        <v>23</v>
      </c>
      <c r="J8" s="22" t="s">
        <v>24</v>
      </c>
      <c r="K8" s="25">
        <f>AVERAGE(I9:I95)</f>
        <v>505.79508239941913</v>
      </c>
    </row>
    <row r="9" spans="1:11" s="21" customFormat="1" ht="20.399999999999999">
      <c r="A9" s="39"/>
      <c r="B9" s="40"/>
      <c r="C9" s="41"/>
      <c r="D9" s="45" t="s">
        <v>26</v>
      </c>
      <c r="E9" s="42"/>
      <c r="F9" s="43"/>
      <c r="G9" s="43"/>
      <c r="H9" s="44"/>
      <c r="I9" s="43"/>
    </row>
    <row r="10" spans="1:11">
      <c r="A10" s="50"/>
      <c r="B10" s="51"/>
      <c r="C10" s="52"/>
      <c r="D10" s="53"/>
      <c r="E10" s="54"/>
      <c r="F10" s="55"/>
      <c r="G10" s="55"/>
      <c r="H10" s="56"/>
      <c r="I10" s="55"/>
    </row>
    <row r="11" spans="1:11">
      <c r="A11" s="50"/>
      <c r="B11" s="51"/>
      <c r="C11" s="52"/>
      <c r="D11" s="53"/>
      <c r="E11" s="54"/>
      <c r="F11" s="55"/>
      <c r="G11" s="55"/>
      <c r="H11" s="56"/>
      <c r="I11" s="55"/>
    </row>
    <row r="12" spans="1:11">
      <c r="A12" s="50" t="s">
        <v>30</v>
      </c>
      <c r="B12" s="51">
        <v>3</v>
      </c>
      <c r="C12" s="52">
        <v>1</v>
      </c>
      <c r="D12" s="53" t="s">
        <v>17</v>
      </c>
      <c r="E12" s="54">
        <v>1100</v>
      </c>
      <c r="F12" s="55">
        <v>459000</v>
      </c>
      <c r="G12" s="55">
        <v>640000</v>
      </c>
      <c r="H12" s="56" t="s">
        <v>31</v>
      </c>
      <c r="I12" s="55">
        <v>581.81818181818187</v>
      </c>
    </row>
    <row r="13" spans="1:11">
      <c r="A13" s="50" t="s">
        <v>32</v>
      </c>
      <c r="B13" s="51">
        <v>5</v>
      </c>
      <c r="C13" s="52">
        <v>3</v>
      </c>
      <c r="D13" s="53" t="s">
        <v>14</v>
      </c>
      <c r="E13" s="54">
        <v>2000</v>
      </c>
      <c r="F13" s="55">
        <v>649000</v>
      </c>
      <c r="G13" s="55">
        <v>640000</v>
      </c>
      <c r="H13" s="56" t="s">
        <v>33</v>
      </c>
      <c r="I13" s="55">
        <v>320</v>
      </c>
    </row>
    <row r="14" spans="1:11">
      <c r="A14" s="50" t="s">
        <v>34</v>
      </c>
      <c r="B14" s="51">
        <v>4</v>
      </c>
      <c r="C14" s="52">
        <v>3</v>
      </c>
      <c r="D14" s="53" t="s">
        <v>14</v>
      </c>
      <c r="E14" s="54">
        <v>1500</v>
      </c>
      <c r="F14" s="55">
        <v>669900</v>
      </c>
      <c r="G14" s="55">
        <v>700000</v>
      </c>
      <c r="H14" s="56" t="s">
        <v>35</v>
      </c>
      <c r="I14" s="55">
        <v>466.66666666666669</v>
      </c>
    </row>
    <row r="15" spans="1:11" ht="17.399999999999999">
      <c r="A15" s="57"/>
      <c r="B15" s="51"/>
      <c r="C15" s="52"/>
      <c r="D15" s="53"/>
      <c r="E15" s="54"/>
      <c r="F15" s="55"/>
      <c r="G15" s="55"/>
      <c r="H15" s="56"/>
      <c r="I15" s="55"/>
    </row>
    <row r="16" spans="1:11">
      <c r="A16" s="50" t="s">
        <v>37</v>
      </c>
      <c r="B16" s="51">
        <v>5</v>
      </c>
      <c r="C16" s="52">
        <v>2</v>
      </c>
      <c r="D16" s="53" t="s">
        <v>14</v>
      </c>
      <c r="E16" s="54">
        <v>1240</v>
      </c>
      <c r="F16" s="55">
        <v>699000</v>
      </c>
      <c r="G16" s="55">
        <v>801000</v>
      </c>
      <c r="H16" s="56" t="s">
        <v>36</v>
      </c>
      <c r="I16" s="55">
        <v>645.9677419354839</v>
      </c>
    </row>
    <row r="17" spans="1:9">
      <c r="A17" s="50" t="s">
        <v>38</v>
      </c>
      <c r="B17" s="51">
        <v>5</v>
      </c>
      <c r="C17" s="52">
        <v>2</v>
      </c>
      <c r="D17" s="53" t="s">
        <v>14</v>
      </c>
      <c r="E17" s="54">
        <v>1205</v>
      </c>
      <c r="F17" s="55">
        <v>549000</v>
      </c>
      <c r="G17" s="55">
        <v>620000</v>
      </c>
      <c r="H17" s="56" t="s">
        <v>39</v>
      </c>
      <c r="I17" s="55">
        <v>514.52282157676348</v>
      </c>
    </row>
  </sheetData>
  <mergeCells count="1">
    <mergeCell ref="A1:I7"/>
  </mergeCells>
  <pageMargins left="0.7" right="0.7" top="0.75" bottom="0.75" header="0.3" footer="0.3"/>
  <pageSetup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1A9FB-7479-48BF-A677-C18453FAE291}">
  <sheetPr codeName="Sheet3"/>
  <dimension ref="A1:A5"/>
  <sheetViews>
    <sheetView workbookViewId="0">
      <selection activeCell="A6" sqref="A6"/>
    </sheetView>
  </sheetViews>
  <sheetFormatPr defaultRowHeight="14.4"/>
  <cols>
    <col min="1" max="1" width="16.88671875" customWidth="1"/>
  </cols>
  <sheetData>
    <row r="1" spans="1:1">
      <c r="A1" t="s">
        <v>16</v>
      </c>
    </row>
    <row r="2" spans="1:1">
      <c r="A2" t="s">
        <v>13</v>
      </c>
    </row>
    <row r="3" spans="1:1">
      <c r="A3" t="s">
        <v>14</v>
      </c>
    </row>
    <row r="4" spans="1:1">
      <c r="A4" t="s">
        <v>15</v>
      </c>
    </row>
    <row r="5" spans="1:1">
      <c r="A5" t="s">
        <v>17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Data Input</vt:lpstr>
      <vt:lpstr>Comparables</vt:lpstr>
      <vt:lpstr>Garage</vt:lpstr>
      <vt:lpstr>Income_Categories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Pay Yourself First Tracker</dc:title>
  <dc:subject>Finance</dc:subject>
  <dc:creator>Allen Rothwell</dc:creator>
  <cp:lastModifiedBy>Monika</cp:lastModifiedBy>
  <dcterms:created xsi:type="dcterms:W3CDTF">2021-01-12T12:16:04Z</dcterms:created>
  <dcterms:modified xsi:type="dcterms:W3CDTF">2021-01-22T00:14:47Z</dcterms:modified>
</cp:coreProperties>
</file>