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530"/>
  <workbookPr autoCompressPictures="0"/>
  <mc:AlternateContent xmlns:mc="http://schemas.openxmlformats.org/markup-compatibility/2006">
    <mc:Choice Requires="x15">
      <x15ac:absPath xmlns:x15ac="http://schemas.microsoft.com/office/spreadsheetml/2010/11/ac" url="C:\Users\Monika\Documents\Financial\Personal\Net Worth Docs\"/>
    </mc:Choice>
  </mc:AlternateContent>
  <xr:revisionPtr revIDLastSave="0" documentId="8_{BF274EEF-3AD7-4DB5-BEBE-B960581A182A}" xr6:coauthVersionLast="46" xr6:coauthVersionMax="46" xr10:uidLastSave="{00000000-0000-0000-0000-000000000000}"/>
  <bookViews>
    <workbookView xWindow="-108" yWindow="-108" windowWidth="23256" windowHeight="12576" tabRatio="788" xr2:uid="{00000000-000D-0000-FFFF-FFFF00000000}"/>
  </bookViews>
  <sheets>
    <sheet name="How to use this template" sheetId="14" r:id="rId1"/>
    <sheet name="Cashflow" sheetId="1" r:id="rId2"/>
    <sheet name="Balance Statement" sheetId="3" r:id="rId3"/>
    <sheet name="RRSP &amp; Credit" sheetId="12" r:id="rId4"/>
    <sheet name="Overview Rentals" sheetId="11" r:id="rId5"/>
    <sheet name="Real Estate Balance Sheet" sheetId="10" r:id="rId6"/>
    <sheet name="Sheet9" sheetId="9" r:id="rId7"/>
    <sheet name="Sheet8" sheetId="8" r:id="rId8"/>
    <sheet name="Sheet7" sheetId="7" r:id="rId9"/>
    <sheet name="Sheet6" sheetId="6" r:id="rId10"/>
    <sheet name="Sheet5" sheetId="5" r:id="rId11"/>
  </sheets>
  <definedNames>
    <definedName name="_xlnm.Print_Area" localSheetId="2">'Balance Statement'!$A$1:$E$37</definedName>
    <definedName name="_xlnm.Print_Area" localSheetId="4">'Overview Rentals'!$A$1:$I$28</definedName>
    <definedName name="_xlnm.Print_Area" localSheetId="5">'Real Estate Balance Sheet'!$A$1:$J$41</definedName>
    <definedName name="_xlnm.Print_Area" localSheetId="3">'RRSP &amp; Credit'!$A$1:$D$82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16" i="11" l="1"/>
  <c r="B15" i="11"/>
  <c r="B14" i="11"/>
  <c r="B13" i="11"/>
  <c r="B12" i="11"/>
  <c r="B11" i="11"/>
  <c r="B10" i="11"/>
  <c r="B9" i="11"/>
  <c r="B7" i="11"/>
  <c r="B8" i="11"/>
  <c r="B13" i="3"/>
  <c r="C33" i="1"/>
  <c r="C32" i="1"/>
  <c r="D15" i="11"/>
  <c r="B31" i="12"/>
  <c r="B39" i="12" s="1"/>
  <c r="B71" i="12" s="1"/>
  <c r="B32" i="12"/>
  <c r="D44" i="12"/>
  <c r="D43" i="12"/>
  <c r="D42" i="12"/>
  <c r="D32" i="12"/>
  <c r="H7" i="11"/>
  <c r="H9" i="11"/>
  <c r="D31" i="12"/>
  <c r="D39" i="12" s="1"/>
  <c r="D71" i="12" s="1"/>
  <c r="F7" i="11"/>
  <c r="F9" i="11"/>
  <c r="F11" i="11"/>
  <c r="F13" i="11"/>
  <c r="F15" i="11"/>
  <c r="F17" i="11"/>
  <c r="F19" i="11"/>
  <c r="F21" i="11"/>
  <c r="F26" i="11" s="1"/>
  <c r="B14" i="1" s="1"/>
  <c r="C23" i="1" s="1"/>
  <c r="C35" i="1" s="1"/>
  <c r="F23" i="11"/>
  <c r="B15" i="1"/>
  <c r="H11" i="11"/>
  <c r="H13" i="11"/>
  <c r="H15" i="11"/>
  <c r="H17" i="11"/>
  <c r="H19" i="11"/>
  <c r="H21" i="11"/>
  <c r="H26" i="11" s="1"/>
  <c r="H23" i="11"/>
  <c r="B32" i="3"/>
  <c r="D7" i="11"/>
  <c r="D9" i="11"/>
  <c r="D13" i="11"/>
  <c r="D17" i="11"/>
  <c r="D19" i="11"/>
  <c r="D21" i="11"/>
  <c r="D26" i="11" s="1"/>
  <c r="B17" i="3" s="1"/>
  <c r="B19" i="3" s="1"/>
  <c r="D23" i="11"/>
  <c r="C69" i="12"/>
  <c r="B8" i="3" s="1"/>
  <c r="H17" i="10"/>
  <c r="G17" i="10"/>
  <c r="E8" i="3" s="1"/>
  <c r="E9" i="3" s="1"/>
  <c r="D17" i="10"/>
  <c r="B18" i="3"/>
  <c r="C7" i="10"/>
  <c r="H38" i="10"/>
  <c r="G38" i="10"/>
  <c r="D38" i="10"/>
  <c r="E38" i="10"/>
  <c r="B6" i="1" s="1"/>
  <c r="C10" i="1" s="1"/>
  <c r="E17" i="10"/>
  <c r="I15" i="10"/>
  <c r="I13" i="10"/>
  <c r="I11" i="10"/>
  <c r="I9" i="10"/>
  <c r="C15" i="10"/>
  <c r="C13" i="10"/>
  <c r="C11" i="10"/>
  <c r="E23" i="11"/>
  <c r="E21" i="11"/>
  <c r="E26" i="11" s="1"/>
  <c r="E19" i="11"/>
  <c r="E17" i="11"/>
  <c r="E15" i="11"/>
  <c r="E13" i="11"/>
  <c r="E11" i="11"/>
  <c r="E9" i="11"/>
  <c r="E7" i="11"/>
  <c r="B17" i="11"/>
  <c r="B18" i="11"/>
  <c r="B19" i="11"/>
  <c r="B20" i="11"/>
  <c r="B21" i="11"/>
  <c r="B22" i="11"/>
  <c r="B23" i="11"/>
  <c r="B24" i="11"/>
  <c r="C36" i="10"/>
  <c r="C38" i="10" s="1"/>
  <c r="C40" i="10" s="1"/>
  <c r="C34" i="10"/>
  <c r="C32" i="10"/>
  <c r="C30" i="10"/>
  <c r="C28" i="10"/>
  <c r="C26" i="10"/>
  <c r="C24" i="10"/>
  <c r="I36" i="10"/>
  <c r="I34" i="10"/>
  <c r="I32" i="10"/>
  <c r="I30" i="10"/>
  <c r="I28" i="10"/>
  <c r="I26" i="10"/>
  <c r="I24" i="10"/>
  <c r="C39" i="12"/>
  <c r="E13" i="3" s="1"/>
  <c r="D22" i="12"/>
  <c r="B12" i="3" s="1"/>
  <c r="B14" i="3" s="1"/>
  <c r="C47" i="12"/>
  <c r="E17" i="3" s="1"/>
  <c r="C60" i="12"/>
  <c r="B7" i="3" s="1"/>
  <c r="B9" i="3" s="1"/>
  <c r="D60" i="12"/>
  <c r="D69" i="12"/>
  <c r="C29" i="1"/>
  <c r="C31" i="1"/>
  <c r="C34" i="1"/>
  <c r="I22" i="10"/>
  <c r="I20" i="10"/>
  <c r="I7" i="10"/>
  <c r="C22" i="10"/>
  <c r="C20" i="10"/>
  <c r="A2" i="10"/>
  <c r="A3" i="11"/>
  <c r="G26" i="11"/>
  <c r="B47" i="12"/>
  <c r="A27" i="12"/>
  <c r="A3" i="12"/>
  <c r="A2" i="3"/>
  <c r="A2" i="1"/>
  <c r="C2" i="1"/>
  <c r="B2" i="1"/>
  <c r="D40" i="10"/>
  <c r="C17" i="10"/>
  <c r="D47" i="12"/>
  <c r="I38" i="10"/>
  <c r="E40" i="10"/>
  <c r="H40" i="10"/>
  <c r="I17" i="10"/>
  <c r="G40" i="10"/>
  <c r="I40" i="10" s="1"/>
  <c r="E7" i="3"/>
  <c r="C71" i="12"/>
  <c r="B34" i="3" l="1"/>
  <c r="B37" i="1"/>
  <c r="E34" i="3"/>
  <c r="B36" i="3" l="1"/>
</calcChain>
</file>

<file path=xl/sharedStrings.xml><?xml version="1.0" encoding="utf-8"?>
<sst xmlns="http://schemas.openxmlformats.org/spreadsheetml/2006/main" count="151" uniqueCount="133">
  <si>
    <t>Monthly Income Sources</t>
  </si>
  <si>
    <t>Monthly</t>
  </si>
  <si>
    <t>Totals</t>
  </si>
  <si>
    <t>Total Income Per Month</t>
  </si>
  <si>
    <t>EXPENSES</t>
  </si>
  <si>
    <t>Regular Monthly Expenses</t>
  </si>
  <si>
    <t>Groceries and other household supplies</t>
  </si>
  <si>
    <t>Clothing: including work clothes, sportswear, repairs, accessories</t>
  </si>
  <si>
    <t>Medical &amp; Dental Care: including prescription drugs and deductible expenses</t>
  </si>
  <si>
    <t>Consumer Credit Payments: department store accounts, credit cards etc.</t>
  </si>
  <si>
    <t>Other Personal Spending: grooming aids, haircuts, dry-cleaning, etc.</t>
  </si>
  <si>
    <t>Discretionary Spending</t>
  </si>
  <si>
    <t>Savings: retirement fund, vacation fund</t>
  </si>
  <si>
    <t>Educational Expenses: tuitions, books, materials</t>
  </si>
  <si>
    <t>Entertainment: dining, theatre tickets, printed materials, etc.</t>
  </si>
  <si>
    <t>Gifts: special occasions, charitable donations, etc.</t>
  </si>
  <si>
    <t>Miscellaneous: long-distance phone/fax calls, lunches &amp; snacks, indulgences....</t>
  </si>
  <si>
    <r>
      <t>Occasional Expenses</t>
    </r>
    <r>
      <rPr>
        <sz val="10"/>
        <rFont val="Arial"/>
        <family val="2"/>
      </rPr>
      <t xml:space="preserve"> (including regular non-monthly payments)</t>
    </r>
  </si>
  <si>
    <t>Annually</t>
  </si>
  <si>
    <t>Recreational and/or club memberships: paid quarterly</t>
  </si>
  <si>
    <t>Furniture &amp; Appliance Purchases &amp; Repairs: occasional expenses</t>
  </si>
  <si>
    <t>Total Expenses Per Month</t>
  </si>
  <si>
    <r>
      <t>MONTHLY RESIDUAL INCOME:</t>
    </r>
    <r>
      <rPr>
        <sz val="11"/>
        <rFont val="Arial"/>
        <family val="2"/>
      </rPr>
      <t xml:space="preserve">   </t>
    </r>
  </si>
  <si>
    <t>ASSETS</t>
  </si>
  <si>
    <t>TOTAL Deposit Accounts</t>
  </si>
  <si>
    <t>TOTAL Investments</t>
  </si>
  <si>
    <t>Goods and Chattels</t>
  </si>
  <si>
    <t>Gold, Silver, Diamonds, Jewelry</t>
  </si>
  <si>
    <t>Furniture &amp; Appliances</t>
  </si>
  <si>
    <t>Business Equipment</t>
  </si>
  <si>
    <t>TOTAL Goods and Chattels</t>
  </si>
  <si>
    <t>LIABILITIES</t>
  </si>
  <si>
    <t>TOTAL Accounts Payable</t>
  </si>
  <si>
    <t>TOTAL ASSETS</t>
  </si>
  <si>
    <t>TOTAL LIABILITIES</t>
  </si>
  <si>
    <t xml:space="preserve"> </t>
  </si>
  <si>
    <t xml:space="preserve">                </t>
  </si>
  <si>
    <t>Deposit Accounts (banks,trust co.'s, etc.)</t>
  </si>
  <si>
    <t>Appendix A</t>
  </si>
  <si>
    <t>Appendix B</t>
  </si>
  <si>
    <t>Credit Status</t>
  </si>
  <si>
    <t>Payments</t>
  </si>
  <si>
    <t xml:space="preserve">Current </t>
  </si>
  <si>
    <t>Balance</t>
  </si>
  <si>
    <t>Credit Cards</t>
  </si>
  <si>
    <t>TOTALS for Credit Cards</t>
  </si>
  <si>
    <t>Chequing/Savings Accounts</t>
  </si>
  <si>
    <t>Totals for Credit Status</t>
  </si>
  <si>
    <t>Year</t>
  </si>
  <si>
    <t>Current</t>
  </si>
  <si>
    <t>Mortgage</t>
  </si>
  <si>
    <t>Taxes</t>
  </si>
  <si>
    <t>Rental</t>
  </si>
  <si>
    <t>#</t>
  </si>
  <si>
    <t>Purch</t>
  </si>
  <si>
    <t>Value</t>
  </si>
  <si>
    <t>Payment</t>
  </si>
  <si>
    <t>(Monthly)</t>
  </si>
  <si>
    <t>Income</t>
  </si>
  <si>
    <t>TOTALS FOR ALL REVENUE PROPERTIES</t>
  </si>
  <si>
    <t>Property Address &amp; Mortgage Information:</t>
  </si>
  <si>
    <t>Equity</t>
  </si>
  <si>
    <t>Rent</t>
  </si>
  <si>
    <t>Real Estate Assets</t>
  </si>
  <si>
    <t>Monthly Pmt.</t>
  </si>
  <si>
    <t>Loan to Value</t>
  </si>
  <si>
    <t>Real Estate Liabilities</t>
  </si>
  <si>
    <t>TOTALS for Chequing/Savings Accounts</t>
  </si>
  <si>
    <t>Credit Limit</t>
  </si>
  <si>
    <t>Joint Chequing/Savings Accounts</t>
  </si>
  <si>
    <t xml:space="preserve">Revenue property rental income </t>
  </si>
  <si>
    <t>TOTAL for Lines of Credit</t>
  </si>
  <si>
    <t xml:space="preserve">TOTALS for Joint Chequing/Savings Accounts </t>
  </si>
  <si>
    <t>Appendix D: Real Estate Assets and Liabilities</t>
  </si>
  <si>
    <t xml:space="preserve">Life Insurance </t>
  </si>
  <si>
    <t>Real Estate Portfolio</t>
  </si>
  <si>
    <t>Rental Property Portfolio (Appendix C)</t>
  </si>
  <si>
    <t>Current Value</t>
  </si>
  <si>
    <t>Mortgage Balance</t>
  </si>
  <si>
    <t>Totals for all Real Estate</t>
  </si>
  <si>
    <t>Total Rental Property</t>
  </si>
  <si>
    <t>Total Personal Real Estate Owned</t>
  </si>
  <si>
    <t>Rental Properties:</t>
  </si>
  <si>
    <t>Personal Properties:</t>
  </si>
  <si>
    <t xml:space="preserve">TOTAL Real Estate Portfolio </t>
  </si>
  <si>
    <t>Principal Residence and other property (Appendix D)</t>
  </si>
  <si>
    <t xml:space="preserve">Mortgages </t>
  </si>
  <si>
    <t xml:space="preserve">Rental Properties (See Appendix C) </t>
  </si>
  <si>
    <t>Principle Residence (See Appendix D)</t>
  </si>
  <si>
    <t xml:space="preserve">TOTAL Mortgages </t>
  </si>
  <si>
    <t xml:space="preserve">TOTAL Mutual Fund RRSP’s / RRIF’s </t>
  </si>
  <si>
    <t>Chequing/Savings Accounts  (Appendix B)</t>
  </si>
  <si>
    <t>Joint Accounts (Appendix B)</t>
  </si>
  <si>
    <t>RRSP/Investment Portfolio (Appendix A)</t>
  </si>
  <si>
    <t>Antiques</t>
  </si>
  <si>
    <t>Lines of Credit, Personal Loans:</t>
  </si>
  <si>
    <t xml:space="preserve">Mutual Funds,  RRSP’s / RRIF’s, Stocks, Bonds, GIC's </t>
  </si>
  <si>
    <t>TOTAL Loans, Lines of Credit</t>
  </si>
  <si>
    <t>Consumer Loans (Appendix B)</t>
  </si>
  <si>
    <t>Accounts Payable (See Appendix B)</t>
  </si>
  <si>
    <t xml:space="preserve">Net Worth </t>
  </si>
  <si>
    <t>Revenue property debt servicing and all other expenses (See Appendix C)</t>
  </si>
  <si>
    <t>Principle residence mortgage (rent or mortgage payments) (See Appendix D)</t>
  </si>
  <si>
    <t>Investments (registered &amp; unregistered funds)</t>
  </si>
  <si>
    <t>Funds</t>
  </si>
  <si>
    <t>Available</t>
  </si>
  <si>
    <t>INSURANCE</t>
  </si>
  <si>
    <t>Policy Number</t>
  </si>
  <si>
    <t>Sum Insured</t>
  </si>
  <si>
    <t>Electronics</t>
  </si>
  <si>
    <t>Min Pymt</t>
  </si>
  <si>
    <t>Account Num</t>
  </si>
  <si>
    <t>Date of Last Statement</t>
  </si>
  <si>
    <t>Home Insurance: paid annually</t>
  </si>
  <si>
    <t>Auto Insurance: paid annually</t>
  </si>
  <si>
    <t>Utilities:  heat, light, telephone, internet,alarm, cable, city tax</t>
  </si>
  <si>
    <t>Life Insurance premiums</t>
  </si>
  <si>
    <t>Total Less Loans</t>
  </si>
  <si>
    <t>Automobile transportation: gasoline, maintenance, parking</t>
  </si>
  <si>
    <t>(divide total tax by 12)</t>
  </si>
  <si>
    <t>Share Price</t>
  </si>
  <si>
    <t>Num of Shares</t>
  </si>
  <si>
    <t xml:space="preserve">Other Income: </t>
  </si>
  <si>
    <t>Employment or business income</t>
  </si>
  <si>
    <r>
      <t xml:space="preserve">Monthly Cash Flow Summary – </t>
    </r>
    <r>
      <rPr>
        <b/>
        <sz val="18"/>
        <color indexed="12"/>
        <rFont val="Times New Roman"/>
        <family val="1"/>
      </rPr>
      <t>(Your Name)</t>
    </r>
  </si>
  <si>
    <t>Name Insured</t>
  </si>
  <si>
    <t>Vehicle 2</t>
  </si>
  <si>
    <t>Vehicle 1</t>
  </si>
  <si>
    <t xml:space="preserve"> Principle Residence:  your address</t>
  </si>
  <si>
    <r>
      <t xml:space="preserve">Appendix C: Overview of Rental Properties </t>
    </r>
    <r>
      <rPr>
        <b/>
        <sz val="18"/>
        <color indexed="12"/>
        <rFont val="Times New Roman"/>
        <family val="1"/>
      </rPr>
      <t>(Your Name)</t>
    </r>
  </si>
  <si>
    <r>
      <t xml:space="preserve">RRSP / RRIF / Investment Portfolio of </t>
    </r>
    <r>
      <rPr>
        <b/>
        <sz val="18"/>
        <color indexed="12"/>
        <rFont val="Times New Roman"/>
        <family val="1"/>
      </rPr>
      <t>(Your Name)</t>
    </r>
  </si>
  <si>
    <t>Balance Statement (Your Name)</t>
  </si>
  <si>
    <t>Rental Property Address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</si>
</sst>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 #,##0.00_);_(* \(#,##0.00\);_(* &quot;-&quot;??_);_(@_)"/>
    <numFmt numFmtId="165" formatCode="&quot;$&quot;#,##0.00"/>
    <numFmt numFmtId="166" formatCode="[$-F800]dddd\,\ mmmm\ dd\,\ yyyy"/>
    <numFmt numFmtId="167" formatCode="0.0%"/>
    <numFmt numFmtId="168" formatCode="_(* #,##0_);_(* \(#,##0\);_(* &quot;-&quot;??_);_(@_)"/>
  </numFmts>
  <fonts count="26" x14ac:knownFonts="1">
    <font>
      <sz val="10"/>
      <name val="Arial"/>
    </font>
    <font>
      <b/>
      <sz val="18"/>
      <name val="Times New Roman"/>
      <family val="1"/>
    </font>
    <font>
      <sz val="10"/>
      <name val="Times New Roman"/>
      <family val="1"/>
    </font>
    <font>
      <sz val="10"/>
      <name val="Arial"/>
      <family val="2"/>
    </font>
    <font>
      <b/>
      <sz val="10"/>
      <name val="Arial"/>
      <family val="2"/>
    </font>
    <font>
      <b/>
      <sz val="11"/>
      <name val="Arial"/>
      <family val="2"/>
    </font>
    <font>
      <sz val="11"/>
      <name val="Arial"/>
      <family val="2"/>
    </font>
    <font>
      <b/>
      <sz val="13"/>
      <name val="Times New Roman"/>
      <family val="1"/>
    </font>
    <font>
      <sz val="8"/>
      <name val="Arial"/>
      <family val="2"/>
    </font>
    <font>
      <b/>
      <sz val="12"/>
      <name val="Arial"/>
      <family val="2"/>
    </font>
    <font>
      <sz val="10"/>
      <color indexed="8"/>
      <name val="Arial"/>
      <family val="2"/>
    </font>
    <font>
      <sz val="9"/>
      <name val="Arial"/>
      <family val="2"/>
    </font>
    <font>
      <sz val="10"/>
      <color indexed="12"/>
      <name val="Arial"/>
      <family val="2"/>
    </font>
    <font>
      <sz val="10"/>
      <color indexed="12"/>
      <name val="Arial"/>
      <family val="2"/>
    </font>
    <font>
      <sz val="10"/>
      <color indexed="48"/>
      <name val="Arial"/>
      <family val="2"/>
    </font>
    <font>
      <b/>
      <sz val="10"/>
      <color indexed="12"/>
      <name val="Arial"/>
      <family val="2"/>
    </font>
    <font>
      <sz val="9"/>
      <color indexed="12"/>
      <name val="Arial"/>
      <family val="2"/>
    </font>
    <font>
      <b/>
      <sz val="18"/>
      <color indexed="12"/>
      <name val="Times New Roman"/>
      <family val="1"/>
    </font>
    <font>
      <sz val="9"/>
      <color indexed="12"/>
      <name val="Arial"/>
      <family val="2"/>
    </font>
    <font>
      <sz val="10"/>
      <color indexed="8"/>
      <name val="Arial"/>
      <family val="2"/>
    </font>
    <font>
      <sz val="10"/>
      <name val="Arial"/>
      <family val="2"/>
    </font>
    <font>
      <sz val="10"/>
      <color rgb="FF0070C0"/>
      <name val="Arial"/>
      <family val="2"/>
    </font>
    <font>
      <i/>
      <sz val="9"/>
      <color indexed="12"/>
      <name val="Arial"/>
      <family val="2"/>
    </font>
    <font>
      <i/>
      <sz val="10"/>
      <name val="Arial"/>
      <family val="2"/>
    </font>
    <font>
      <b/>
      <i/>
      <sz val="10"/>
      <color rgb="FFFF0000"/>
      <name val="Arial"/>
      <family val="2"/>
    </font>
    <font>
      <sz val="10"/>
      <color theme="3"/>
      <name val="Arial"/>
      <family val="2"/>
    </font>
  </fonts>
  <fills count="2">
    <fill>
      <patternFill patternType="none"/>
    </fill>
    <fill>
      <patternFill patternType="gray125"/>
    </fill>
  </fills>
  <borders count="20">
    <border>
      <left/>
      <right/>
      <top/>
      <bottom/>
      <diagonal/>
    </border>
    <border>
      <left/>
      <right/>
      <top/>
      <bottom style="medium">
        <color auto="1"/>
      </bottom>
      <diagonal/>
    </border>
    <border>
      <left/>
      <right/>
      <top/>
      <bottom style="double">
        <color auto="1"/>
      </bottom>
      <diagonal/>
    </border>
    <border>
      <left/>
      <right/>
      <top style="medium">
        <color auto="1"/>
      </top>
      <bottom/>
      <diagonal/>
    </border>
    <border>
      <left/>
      <right/>
      <top/>
      <bottom style="thick">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dotted">
        <color auto="1"/>
      </bottom>
      <diagonal/>
    </border>
    <border>
      <left style="thin">
        <color auto="1"/>
      </left>
      <right style="medium">
        <color auto="1"/>
      </right>
      <top/>
      <bottom style="medium">
        <color auto="1"/>
      </bottom>
      <diagonal/>
    </border>
    <border>
      <left style="medium">
        <color auto="1"/>
      </left>
      <right style="medium">
        <color auto="1"/>
      </right>
      <top/>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medium">
        <color auto="1"/>
      </bottom>
      <diagonal/>
    </border>
  </borders>
  <cellStyleXfs count="3">
    <xf numFmtId="0" fontId="0" fillId="0" borderId="0"/>
    <xf numFmtId="164" fontId="20" fillId="0" borderId="0" applyFont="0" applyFill="0" applyBorder="0" applyAlignment="0" applyProtection="0"/>
    <xf numFmtId="9" fontId="20" fillId="0" borderId="0" applyFont="0" applyFill="0" applyBorder="0" applyAlignment="0" applyProtection="0"/>
  </cellStyleXfs>
  <cellXfs count="168">
    <xf numFmtId="0" fontId="0" fillId="0" borderId="0" xfId="0"/>
    <xf numFmtId="0" fontId="3" fillId="0" borderId="0" xfId="0" applyFont="1"/>
    <xf numFmtId="0" fontId="4" fillId="0" borderId="1" xfId="0" applyFont="1" applyBorder="1" applyAlignment="1">
      <alignment vertical="top" wrapText="1"/>
    </xf>
    <xf numFmtId="0" fontId="3" fillId="0" borderId="0" xfId="0" applyFont="1" applyAlignment="1">
      <alignment horizontal="left" vertical="top" wrapText="1" indent="2"/>
    </xf>
    <xf numFmtId="0" fontId="5" fillId="0" borderId="2" xfId="0" applyFont="1" applyBorder="1" applyAlignment="1">
      <alignment horizontal="left" vertical="top" wrapText="1" indent="2"/>
    </xf>
    <xf numFmtId="0" fontId="7" fillId="0" borderId="0" xfId="0" applyFont="1" applyAlignment="1">
      <alignment horizontal="center"/>
    </xf>
    <xf numFmtId="0" fontId="4" fillId="0" borderId="0" xfId="0" applyFont="1"/>
    <xf numFmtId="0" fontId="4" fillId="0" borderId="0" xfId="0" applyFont="1" applyAlignment="1">
      <alignment horizontal="left" indent="2"/>
    </xf>
    <xf numFmtId="0" fontId="3" fillId="0" borderId="3" xfId="0" applyFont="1" applyBorder="1" applyAlignment="1">
      <alignment horizontal="left" vertical="top" wrapText="1" indent="2"/>
    </xf>
    <xf numFmtId="0" fontId="5" fillId="0" borderId="4" xfId="0" applyFont="1" applyBorder="1" applyAlignment="1">
      <alignment horizontal="left" vertical="top" wrapText="1" indent="2"/>
    </xf>
    <xf numFmtId="0" fontId="0" fillId="0" borderId="0" xfId="0" applyAlignment="1">
      <alignment horizontal="center"/>
    </xf>
    <xf numFmtId="0" fontId="3" fillId="0" borderId="0" xfId="0" applyFont="1" applyAlignment="1"/>
    <xf numFmtId="0" fontId="0" fillId="0" borderId="0" xfId="0" applyAlignment="1">
      <alignment horizontal="left"/>
    </xf>
    <xf numFmtId="165" fontId="0" fillId="0" borderId="0" xfId="0" applyNumberFormat="1"/>
    <xf numFmtId="165" fontId="4" fillId="0" borderId="0" xfId="0" applyNumberFormat="1" applyFont="1"/>
    <xf numFmtId="0" fontId="4" fillId="0" borderId="0" xfId="0" applyFont="1" applyAlignment="1">
      <alignment horizontal="center"/>
    </xf>
    <xf numFmtId="0" fontId="9" fillId="0" borderId="0" xfId="0" applyFont="1"/>
    <xf numFmtId="165" fontId="9" fillId="0" borderId="0" xfId="0" applyNumberFormat="1" applyFont="1"/>
    <xf numFmtId="0" fontId="10" fillId="0" borderId="0" xfId="0" applyFont="1"/>
    <xf numFmtId="0" fontId="4" fillId="0" borderId="0" xfId="0" applyFont="1" applyBorder="1" applyAlignment="1">
      <alignment vertical="top" wrapText="1"/>
    </xf>
    <xf numFmtId="0" fontId="9" fillId="0" borderId="0" xfId="0" applyFont="1" applyAlignment="1">
      <alignment horizontal="center"/>
    </xf>
    <xf numFmtId="166" fontId="0" fillId="0" borderId="0" xfId="0" applyNumberFormat="1" applyAlignment="1">
      <alignment horizontal="center"/>
    </xf>
    <xf numFmtId="166" fontId="0" fillId="0" borderId="0" xfId="0" applyNumberFormat="1" applyAlignment="1"/>
    <xf numFmtId="0" fontId="3" fillId="0" borderId="5" xfId="0" applyFont="1" applyBorder="1"/>
    <xf numFmtId="0" fontId="3" fillId="0" borderId="5" xfId="0" applyFont="1" applyBorder="1" applyAlignment="1">
      <alignment horizontal="left" vertical="top" wrapText="1" indent="2"/>
    </xf>
    <xf numFmtId="166" fontId="4" fillId="0" borderId="0" xfId="0" applyNumberFormat="1" applyFont="1" applyBorder="1" applyAlignment="1">
      <alignment horizontal="left"/>
    </xf>
    <xf numFmtId="0" fontId="0" fillId="0" borderId="5" xfId="0" applyBorder="1"/>
    <xf numFmtId="44" fontId="0" fillId="0" borderId="0" xfId="0" applyNumberFormat="1"/>
    <xf numFmtId="44" fontId="9" fillId="0" borderId="0" xfId="0" applyNumberFormat="1" applyFont="1"/>
    <xf numFmtId="44" fontId="3" fillId="0" borderId="0" xfId="0" applyNumberFormat="1" applyFont="1" applyBorder="1" applyAlignment="1">
      <alignment horizontal="center"/>
    </xf>
    <xf numFmtId="44" fontId="0" fillId="0" borderId="0" xfId="0" applyNumberFormat="1" applyBorder="1" applyAlignment="1">
      <alignment horizontal="center"/>
    </xf>
    <xf numFmtId="44" fontId="0" fillId="0" borderId="5" xfId="0" applyNumberFormat="1" applyBorder="1"/>
    <xf numFmtId="44" fontId="4" fillId="0" borderId="5" xfId="0" applyNumberFormat="1" applyFont="1" applyBorder="1"/>
    <xf numFmtId="3" fontId="0" fillId="0" borderId="0" xfId="0" applyNumberFormat="1" applyAlignment="1">
      <alignment horizontal="center"/>
    </xf>
    <xf numFmtId="167" fontId="0" fillId="0" borderId="0" xfId="0" applyNumberFormat="1"/>
    <xf numFmtId="167" fontId="9" fillId="0" borderId="0" xfId="0" applyNumberFormat="1" applyFont="1"/>
    <xf numFmtId="0" fontId="0" fillId="0" borderId="6" xfId="0" applyBorder="1"/>
    <xf numFmtId="44" fontId="0" fillId="0" borderId="7" xfId="0" applyNumberFormat="1" applyBorder="1"/>
    <xf numFmtId="44" fontId="0" fillId="0" borderId="8" xfId="0" applyNumberFormat="1" applyBorder="1"/>
    <xf numFmtId="0" fontId="0" fillId="0" borderId="9" xfId="0" applyBorder="1"/>
    <xf numFmtId="44" fontId="0" fillId="0" borderId="10" xfId="0" applyNumberFormat="1" applyBorder="1"/>
    <xf numFmtId="0" fontId="0" fillId="0" borderId="11" xfId="0" applyBorder="1"/>
    <xf numFmtId="44" fontId="0" fillId="0" borderId="12" xfId="0" applyNumberFormat="1" applyBorder="1"/>
    <xf numFmtId="44" fontId="0" fillId="0" borderId="13" xfId="0" applyNumberFormat="1" applyBorder="1"/>
    <xf numFmtId="165" fontId="12" fillId="0" borderId="0" xfId="0" applyNumberFormat="1" applyFont="1"/>
    <xf numFmtId="0" fontId="0" fillId="0" borderId="0" xfId="0" applyBorder="1"/>
    <xf numFmtId="44" fontId="4" fillId="0" borderId="0" xfId="0" applyNumberFormat="1" applyFont="1" applyBorder="1"/>
    <xf numFmtId="0" fontId="4" fillId="0" borderId="0" xfId="0" applyFont="1" applyFill="1" applyBorder="1"/>
    <xf numFmtId="44" fontId="14" fillId="0" borderId="5" xfId="0" applyNumberFormat="1" applyFont="1" applyBorder="1"/>
    <xf numFmtId="0" fontId="9" fillId="0" borderId="0" xfId="0" applyFont="1" applyBorder="1"/>
    <xf numFmtId="165" fontId="9" fillId="0" borderId="0" xfId="0" applyNumberFormat="1" applyFont="1" applyBorder="1"/>
    <xf numFmtId="44" fontId="12" fillId="0" borderId="7" xfId="0" applyNumberFormat="1" applyFont="1" applyBorder="1"/>
    <xf numFmtId="44" fontId="12" fillId="0" borderId="8" xfId="0" applyNumberFormat="1" applyFont="1" applyBorder="1"/>
    <xf numFmtId="44" fontId="12" fillId="0" borderId="6" xfId="0" applyNumberFormat="1" applyFont="1" applyBorder="1"/>
    <xf numFmtId="44" fontId="12" fillId="0" borderId="5" xfId="0" applyNumberFormat="1" applyFont="1" applyBorder="1"/>
    <xf numFmtId="44" fontId="12" fillId="0" borderId="10" xfId="0" applyNumberFormat="1" applyFont="1" applyBorder="1"/>
    <xf numFmtId="44" fontId="12" fillId="0" borderId="9" xfId="0" applyNumberFormat="1" applyFont="1" applyBorder="1"/>
    <xf numFmtId="0" fontId="16" fillId="0" borderId="5" xfId="0" applyFont="1" applyBorder="1"/>
    <xf numFmtId="0" fontId="13" fillId="0" borderId="5" xfId="0" applyFont="1" applyBorder="1" applyAlignment="1">
      <alignment vertical="top" wrapText="1"/>
    </xf>
    <xf numFmtId="0" fontId="13" fillId="0" borderId="5" xfId="0" applyFont="1" applyBorder="1"/>
    <xf numFmtId="0" fontId="12" fillId="0" borderId="5" xfId="0" applyFont="1" applyBorder="1"/>
    <xf numFmtId="0" fontId="15" fillId="0" borderId="0" xfId="0" applyFont="1" applyAlignment="1">
      <alignment horizontal="center"/>
    </xf>
    <xf numFmtId="44" fontId="13" fillId="0" borderId="0" xfId="0" applyNumberFormat="1" applyFont="1"/>
    <xf numFmtId="0" fontId="13" fillId="0" borderId="0" xfId="0" applyFont="1"/>
    <xf numFmtId="165" fontId="13" fillId="0" borderId="0" xfId="0" applyNumberFormat="1" applyFont="1"/>
    <xf numFmtId="0" fontId="13" fillId="0" borderId="0" xfId="0" applyFont="1" applyAlignment="1"/>
    <xf numFmtId="0" fontId="0" fillId="0" borderId="0" xfId="0" applyNumberFormat="1"/>
    <xf numFmtId="0" fontId="12" fillId="0" borderId="0" xfId="0" applyFont="1"/>
    <xf numFmtId="0" fontId="12" fillId="0" borderId="7" xfId="0" applyFont="1" applyBorder="1" applyAlignment="1">
      <alignment horizontal="left"/>
    </xf>
    <xf numFmtId="0" fontId="18" fillId="0" borderId="5" xfId="0" applyFont="1" applyBorder="1" applyAlignment="1">
      <alignment horizontal="left"/>
    </xf>
    <xf numFmtId="0" fontId="12" fillId="0" borderId="5" xfId="0" applyFont="1" applyBorder="1" applyAlignment="1">
      <alignment horizontal="left"/>
    </xf>
    <xf numFmtId="167" fontId="19" fillId="0" borderId="8" xfId="0" applyNumberFormat="1" applyFont="1" applyBorder="1"/>
    <xf numFmtId="167" fontId="19" fillId="0" borderId="10" xfId="0" applyNumberFormat="1" applyFont="1" applyBorder="1"/>
    <xf numFmtId="0" fontId="16" fillId="0" borderId="0" xfId="0" applyFont="1" applyBorder="1"/>
    <xf numFmtId="44" fontId="0" fillId="0" borderId="0" xfId="0" applyNumberFormat="1" applyBorder="1"/>
    <xf numFmtId="44" fontId="12" fillId="0" borderId="0" xfId="0" applyNumberFormat="1" applyFont="1" applyBorder="1"/>
    <xf numFmtId="167" fontId="19" fillId="0" borderId="0" xfId="0" applyNumberFormat="1" applyFont="1" applyBorder="1"/>
    <xf numFmtId="0" fontId="15" fillId="0" borderId="7" xfId="0" applyFont="1" applyBorder="1"/>
    <xf numFmtId="44" fontId="12" fillId="0" borderId="3" xfId="0" applyNumberFormat="1" applyFont="1" applyBorder="1"/>
    <xf numFmtId="0" fontId="16" fillId="0" borderId="12" xfId="0" applyFont="1" applyBorder="1"/>
    <xf numFmtId="44" fontId="12" fillId="0" borderId="12" xfId="0" applyNumberFormat="1" applyFont="1" applyBorder="1"/>
    <xf numFmtId="44" fontId="12" fillId="0" borderId="13" xfId="0" applyNumberFormat="1" applyFont="1" applyBorder="1"/>
    <xf numFmtId="44" fontId="12" fillId="0" borderId="1" xfId="0" applyNumberFormat="1" applyFont="1" applyBorder="1"/>
    <xf numFmtId="44" fontId="12" fillId="0" borderId="11" xfId="0" applyNumberFormat="1" applyFont="1" applyBorder="1"/>
    <xf numFmtId="167" fontId="19" fillId="0" borderId="13" xfId="0" applyNumberFormat="1" applyFont="1" applyBorder="1"/>
    <xf numFmtId="0" fontId="12" fillId="0" borderId="12" xfId="0" applyFont="1" applyBorder="1" applyAlignment="1">
      <alignment horizontal="left"/>
    </xf>
    <xf numFmtId="0" fontId="4" fillId="0" borderId="0" xfId="0" applyFont="1" applyBorder="1"/>
    <xf numFmtId="0" fontId="4" fillId="0" borderId="0" xfId="0" applyFont="1" applyAlignment="1">
      <alignment horizontal="right"/>
    </xf>
    <xf numFmtId="0" fontId="4" fillId="0" borderId="0" xfId="0" applyFont="1" applyBorder="1" applyAlignment="1">
      <alignment horizontal="right"/>
    </xf>
    <xf numFmtId="0" fontId="9" fillId="0" borderId="0" xfId="0" applyFont="1" applyAlignment="1">
      <alignment horizontal="right"/>
    </xf>
    <xf numFmtId="0" fontId="4" fillId="0" borderId="6" xfId="0" applyFont="1" applyBorder="1" applyAlignment="1">
      <alignment horizontal="center"/>
    </xf>
    <xf numFmtId="0" fontId="0" fillId="0" borderId="9" xfId="0" applyBorder="1" applyAlignment="1">
      <alignment horizontal="center"/>
    </xf>
    <xf numFmtId="0" fontId="4" fillId="0" borderId="9" xfId="0" applyFont="1" applyBorder="1" applyAlignment="1">
      <alignment horizontal="center"/>
    </xf>
    <xf numFmtId="0" fontId="0" fillId="0" borderId="11" xfId="0" applyBorder="1" applyAlignment="1">
      <alignment horizontal="center"/>
    </xf>
    <xf numFmtId="0" fontId="0" fillId="0" borderId="12" xfId="0" applyBorder="1"/>
    <xf numFmtId="0" fontId="13" fillId="0" borderId="9" xfId="0" applyFont="1" applyBorder="1" applyAlignment="1">
      <alignment vertical="top" wrapText="1"/>
    </xf>
    <xf numFmtId="0" fontId="13" fillId="0" borderId="9" xfId="0" applyFont="1" applyBorder="1"/>
    <xf numFmtId="0" fontId="0" fillId="0" borderId="10" xfId="0" applyBorder="1"/>
    <xf numFmtId="0" fontId="13" fillId="0" borderId="11" xfId="0" applyFont="1" applyBorder="1"/>
    <xf numFmtId="165" fontId="4" fillId="0" borderId="1" xfId="0" applyNumberFormat="1" applyFont="1" applyBorder="1" applyAlignment="1">
      <alignment horizontal="right" vertical="top" wrapText="1"/>
    </xf>
    <xf numFmtId="165" fontId="3" fillId="0" borderId="0" xfId="0" applyNumberFormat="1" applyFont="1" applyAlignment="1">
      <alignment horizontal="right" vertical="top" wrapText="1" indent="2"/>
    </xf>
    <xf numFmtId="165" fontId="13" fillId="0" borderId="0" xfId="0" applyNumberFormat="1" applyFont="1" applyAlignment="1">
      <alignment horizontal="right" vertical="top" wrapText="1" indent="2"/>
    </xf>
    <xf numFmtId="165" fontId="13" fillId="0" borderId="14" xfId="0" applyNumberFormat="1" applyFont="1" applyBorder="1" applyAlignment="1">
      <alignment horizontal="right" vertical="top" wrapText="1" indent="2"/>
    </xf>
    <xf numFmtId="165" fontId="3" fillId="0" borderId="14" xfId="0" applyNumberFormat="1" applyFont="1" applyBorder="1" applyAlignment="1">
      <alignment horizontal="right" vertical="top" wrapText="1" indent="2"/>
    </xf>
    <xf numFmtId="165" fontId="3" fillId="0" borderId="2" xfId="0" applyNumberFormat="1" applyFont="1" applyBorder="1" applyAlignment="1">
      <alignment horizontal="right" vertical="top" wrapText="1" indent="2"/>
    </xf>
    <xf numFmtId="165" fontId="6" fillId="0" borderId="2" xfId="0" applyNumberFormat="1" applyFont="1" applyBorder="1" applyAlignment="1">
      <alignment horizontal="right" vertical="top" wrapText="1"/>
    </xf>
    <xf numFmtId="165" fontId="4" fillId="0" borderId="14" xfId="0" applyNumberFormat="1" applyFont="1" applyBorder="1" applyAlignment="1">
      <alignment horizontal="right" vertical="top" wrapText="1" indent="2"/>
    </xf>
    <xf numFmtId="165" fontId="4" fillId="0" borderId="0" xfId="0" applyNumberFormat="1" applyFont="1" applyBorder="1" applyAlignment="1">
      <alignment horizontal="right" vertical="top" wrapText="1" indent="2"/>
    </xf>
    <xf numFmtId="165" fontId="4" fillId="0" borderId="0" xfId="0" applyNumberFormat="1" applyFont="1" applyAlignment="1">
      <alignment horizontal="left" indent="2"/>
    </xf>
    <xf numFmtId="165" fontId="4" fillId="0" borderId="1" xfId="0" applyNumberFormat="1" applyFont="1" applyBorder="1" applyAlignment="1">
      <alignment horizontal="left" indent="2"/>
    </xf>
    <xf numFmtId="165" fontId="13" fillId="0" borderId="3" xfId="0" applyNumberFormat="1" applyFont="1" applyBorder="1" applyAlignment="1">
      <alignment horizontal="right" vertical="top" wrapText="1" indent="2"/>
    </xf>
    <xf numFmtId="165" fontId="3" fillId="0" borderId="0" xfId="0" applyNumberFormat="1" applyFont="1" applyBorder="1" applyAlignment="1">
      <alignment horizontal="right" vertical="top" wrapText="1" indent="2"/>
    </xf>
    <xf numFmtId="165" fontId="4" fillId="0" borderId="2" xfId="0" applyNumberFormat="1" applyFont="1" applyBorder="1" applyAlignment="1">
      <alignment horizontal="right" vertical="top" wrapText="1" indent="2"/>
    </xf>
    <xf numFmtId="165" fontId="5" fillId="0" borderId="4" xfId="0" applyNumberFormat="1" applyFont="1" applyBorder="1" applyAlignment="1">
      <alignment horizontal="right" vertical="top" wrapText="1"/>
    </xf>
    <xf numFmtId="165" fontId="0" fillId="0" borderId="4" xfId="0" applyNumberFormat="1" applyBorder="1"/>
    <xf numFmtId="0" fontId="12" fillId="0" borderId="0" xfId="0" applyFont="1" applyAlignment="1"/>
    <xf numFmtId="0" fontId="0" fillId="0" borderId="0" xfId="0" applyAlignment="1">
      <alignment horizontal="center"/>
    </xf>
    <xf numFmtId="0" fontId="12" fillId="0" borderId="6" xfId="0" applyFont="1" applyBorder="1" applyAlignment="1">
      <alignment horizontal="left" vertical="top" wrapText="1"/>
    </xf>
    <xf numFmtId="0" fontId="12" fillId="0" borderId="9" xfId="0" applyFont="1" applyBorder="1" applyAlignment="1">
      <alignment horizontal="left" vertical="top" wrapText="1" indent="2"/>
    </xf>
    <xf numFmtId="0" fontId="12" fillId="0" borderId="9" xfId="0" applyFont="1" applyBorder="1" applyAlignment="1">
      <alignment vertical="top" wrapText="1"/>
    </xf>
    <xf numFmtId="0" fontId="16" fillId="0" borderId="5" xfId="0" applyFont="1" applyBorder="1" applyAlignment="1">
      <alignment horizontal="left"/>
    </xf>
    <xf numFmtId="44" fontId="12" fillId="0" borderId="0" xfId="0" applyNumberFormat="1" applyFont="1" applyFill="1" applyBorder="1"/>
    <xf numFmtId="0" fontId="21" fillId="0" borderId="0" xfId="0" applyFont="1"/>
    <xf numFmtId="168" fontId="21" fillId="0" borderId="0" xfId="1" applyNumberFormat="1" applyFont="1"/>
    <xf numFmtId="0" fontId="21" fillId="0" borderId="0" xfId="0" applyFont="1" applyAlignment="1">
      <alignment horizontal="right"/>
    </xf>
    <xf numFmtId="44" fontId="0" fillId="0" borderId="0" xfId="0" applyNumberFormat="1" applyFill="1" applyBorder="1" applyAlignment="1">
      <alignment horizontal="center"/>
    </xf>
    <xf numFmtId="9" fontId="12" fillId="0" borderId="0" xfId="2" applyFont="1" applyFill="1" applyBorder="1"/>
    <xf numFmtId="44" fontId="3" fillId="0" borderId="5" xfId="0" applyNumberFormat="1" applyFont="1" applyBorder="1"/>
    <xf numFmtId="10" fontId="12" fillId="0" borderId="0" xfId="2" applyNumberFormat="1" applyFont="1" applyFill="1" applyBorder="1"/>
    <xf numFmtId="165" fontId="4" fillId="0" borderId="1" xfId="0" applyNumberFormat="1" applyFont="1" applyBorder="1" applyAlignment="1">
      <alignment vertical="top"/>
    </xf>
    <xf numFmtId="0" fontId="4" fillId="0" borderId="1" xfId="0" applyFont="1" applyBorder="1" applyAlignment="1">
      <alignment wrapText="1"/>
    </xf>
    <xf numFmtId="15" fontId="12" fillId="0" borderId="5" xfId="0" applyNumberFormat="1" applyFont="1" applyBorder="1" applyAlignment="1">
      <alignment vertical="top" wrapText="1"/>
    </xf>
    <xf numFmtId="0" fontId="12" fillId="0" borderId="5" xfId="0" applyFont="1" applyBorder="1" applyAlignment="1">
      <alignment vertical="top" wrapText="1"/>
    </xf>
    <xf numFmtId="0" fontId="12" fillId="0" borderId="5" xfId="0" applyFont="1" applyBorder="1" applyAlignment="1">
      <alignment horizontal="right" vertical="top" wrapText="1"/>
    </xf>
    <xf numFmtId="0" fontId="22" fillId="0" borderId="5" xfId="0" applyFont="1" applyBorder="1" applyAlignment="1">
      <alignment horizontal="left"/>
    </xf>
    <xf numFmtId="0" fontId="3" fillId="0" borderId="0" xfId="0" applyFont="1" applyBorder="1" applyAlignment="1">
      <alignment horizontal="left" vertical="top" wrapText="1" indent="2"/>
    </xf>
    <xf numFmtId="165" fontId="13" fillId="0" borderId="0" xfId="0" applyNumberFormat="1" applyFont="1" applyBorder="1" applyAlignment="1">
      <alignment horizontal="right" vertical="top" wrapText="1" indent="2"/>
    </xf>
    <xf numFmtId="0" fontId="24" fillId="0" borderId="0" xfId="0" applyFont="1"/>
    <xf numFmtId="0" fontId="0" fillId="0" borderId="15" xfId="0" applyBorder="1"/>
    <xf numFmtId="0" fontId="0" fillId="0" borderId="8" xfId="0" applyBorder="1"/>
    <xf numFmtId="0" fontId="25" fillId="0" borderId="10" xfId="0" applyFont="1" applyBorder="1" applyAlignment="1">
      <alignment horizontal="right"/>
    </xf>
    <xf numFmtId="165" fontId="12" fillId="0" borderId="8" xfId="0" applyNumberFormat="1" applyFont="1" applyBorder="1"/>
    <xf numFmtId="165" fontId="12" fillId="0" borderId="10" xfId="0" applyNumberFormat="1" applyFont="1" applyBorder="1"/>
    <xf numFmtId="0" fontId="0" fillId="0" borderId="13" xfId="0" applyBorder="1"/>
    <xf numFmtId="0" fontId="0" fillId="0" borderId="17" xfId="0" applyBorder="1"/>
    <xf numFmtId="0" fontId="0" fillId="0" borderId="18" xfId="0" applyBorder="1"/>
    <xf numFmtId="165" fontId="12" fillId="0" borderId="18" xfId="0" applyNumberFormat="1" applyFont="1" applyBorder="1"/>
    <xf numFmtId="0" fontId="0" fillId="0" borderId="19" xfId="0" applyBorder="1"/>
    <xf numFmtId="0" fontId="0" fillId="0" borderId="16" xfId="0" applyBorder="1"/>
    <xf numFmtId="0" fontId="4" fillId="0" borderId="7" xfId="0" applyFont="1" applyBorder="1" applyProtection="1"/>
    <xf numFmtId="0" fontId="23" fillId="0" borderId="5" xfId="0" applyFont="1" applyBorder="1" applyProtection="1"/>
    <xf numFmtId="0" fontId="4" fillId="0" borderId="5" xfId="0" applyFont="1" applyBorder="1" applyProtection="1"/>
    <xf numFmtId="44" fontId="13" fillId="0" borderId="7" xfId="0" applyNumberFormat="1" applyFont="1" applyBorder="1" applyProtection="1">
      <protection locked="0"/>
    </xf>
    <xf numFmtId="44" fontId="13" fillId="0" borderId="5" xfId="0" applyNumberFormat="1" applyFont="1" applyBorder="1" applyProtection="1">
      <protection locked="0"/>
    </xf>
    <xf numFmtId="44" fontId="13" fillId="0" borderId="12" xfId="0" applyNumberFormat="1" applyFont="1" applyBorder="1" applyProtection="1">
      <protection locked="0"/>
    </xf>
    <xf numFmtId="0" fontId="12" fillId="0" borderId="7" xfId="0" applyFont="1" applyBorder="1" applyAlignment="1" applyProtection="1">
      <alignment horizontal="center"/>
      <protection locked="0"/>
    </xf>
    <xf numFmtId="0" fontId="12" fillId="0" borderId="5" xfId="0" applyFont="1" applyBorder="1" applyAlignment="1" applyProtection="1">
      <alignment horizontal="center"/>
      <protection locked="0"/>
    </xf>
    <xf numFmtId="0" fontId="12" fillId="0" borderId="12" xfId="0" applyFont="1" applyBorder="1" applyAlignment="1" applyProtection="1">
      <alignment horizontal="center"/>
      <protection locked="0"/>
    </xf>
    <xf numFmtId="0" fontId="23" fillId="0" borderId="12" xfId="0" applyFont="1" applyBorder="1" applyProtection="1"/>
    <xf numFmtId="0" fontId="1" fillId="0" borderId="0" xfId="0" applyFont="1" applyAlignment="1">
      <alignment horizontal="center"/>
    </xf>
    <xf numFmtId="0" fontId="0" fillId="0" borderId="0" xfId="0" applyAlignment="1">
      <alignment horizontal="center"/>
    </xf>
    <xf numFmtId="166" fontId="2" fillId="0" borderId="0" xfId="0" applyNumberFormat="1" applyFont="1" applyAlignment="1">
      <alignment horizontal="center"/>
    </xf>
    <xf numFmtId="166" fontId="0" fillId="0" borderId="0" xfId="0" applyNumberFormat="1" applyAlignment="1"/>
    <xf numFmtId="165" fontId="1" fillId="0" borderId="0" xfId="0" applyNumberFormat="1" applyFont="1" applyAlignment="1">
      <alignment horizontal="center"/>
    </xf>
    <xf numFmtId="166" fontId="11" fillId="0" borderId="0" xfId="0" applyNumberFormat="1" applyFont="1" applyAlignment="1">
      <alignment horizontal="center"/>
    </xf>
    <xf numFmtId="0" fontId="9" fillId="0" borderId="0" xfId="0" applyFont="1" applyAlignment="1">
      <alignment horizontal="center"/>
    </xf>
    <xf numFmtId="166" fontId="0" fillId="0" borderId="0" xfId="0" applyNumberFormat="1" applyAlignment="1">
      <alignment horizontal="center"/>
    </xf>
    <xf numFmtId="166" fontId="4" fillId="0" borderId="0" xfId="0" applyNumberFormat="1" applyFont="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304800</xdr:colOff>
      <xdr:row>0</xdr:row>
      <xdr:rowOff>114300</xdr:rowOff>
    </xdr:from>
    <xdr:to>
      <xdr:col>14</xdr:col>
      <xdr:colOff>114300</xdr:colOff>
      <xdr:row>25</xdr:row>
      <xdr:rowOff>38100</xdr:rowOff>
    </xdr:to>
    <xdr:sp macro="" textlink="">
      <xdr:nvSpPr>
        <xdr:cNvPr id="3073" name="Text Box 1">
          <a:extLst>
            <a:ext uri="{FF2B5EF4-FFF2-40B4-BE49-F238E27FC236}">
              <a16:creationId xmlns:a16="http://schemas.microsoft.com/office/drawing/2014/main" id="{00000000-0008-0000-0000-0000010C0000}"/>
            </a:ext>
          </a:extLst>
        </xdr:cNvPr>
        <xdr:cNvSpPr txBox="1">
          <a:spLocks noChangeArrowheads="1"/>
        </xdr:cNvSpPr>
      </xdr:nvSpPr>
      <xdr:spPr bwMode="auto">
        <a:xfrm>
          <a:off x="304800" y="114300"/>
          <a:ext cx="8343900" cy="397192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CA" sz="1400" b="0" i="0" strike="noStrike">
              <a:solidFill>
                <a:srgbClr val="000000"/>
              </a:solidFill>
              <a:latin typeface="Arial"/>
              <a:cs typeface="Arial"/>
            </a:rPr>
            <a:t>This template has been made to help you with your investment binder for your banker.  There are many formulas in place so that you do not need to do much math and can easily update it.  You will only need to enter information once and the formulas will automatically apply that number in other sheets.</a:t>
          </a:r>
        </a:p>
        <a:p>
          <a:pPr algn="l" rtl="0">
            <a:defRPr sz="1000"/>
          </a:pPr>
          <a:endParaRPr lang="en-CA" sz="1400" b="0" i="0" strike="noStrike">
            <a:solidFill>
              <a:srgbClr val="000000"/>
            </a:solidFill>
            <a:latin typeface="Arial"/>
            <a:cs typeface="Arial"/>
          </a:endParaRPr>
        </a:p>
        <a:p>
          <a:pPr algn="l" rtl="0">
            <a:defRPr sz="1000"/>
          </a:pPr>
          <a:r>
            <a:rPr lang="en-CA" sz="1400" b="0" i="0" strike="noStrike">
              <a:solidFill>
                <a:srgbClr val="000000"/>
              </a:solidFill>
              <a:latin typeface="Arial"/>
              <a:cs typeface="Arial"/>
            </a:rPr>
            <a:t>You will note that some numbers are black and some blue.  Blue print is where you can add your own information.  Black print is reserved for cells that have formulas (the information is coming from somewhere else in the binder to save you time).  So, leave the black ones alone.  Note: a lot of the information comes from the appendices, so you may want to start on the last page (furthest right) and work your way to the left).</a:t>
          </a:r>
        </a:p>
        <a:p>
          <a:pPr algn="l" rtl="0">
            <a:defRPr sz="1000"/>
          </a:pPr>
          <a:endParaRPr lang="en-CA" sz="1400" b="0" i="0" strike="noStrike">
            <a:solidFill>
              <a:srgbClr val="000000"/>
            </a:solidFill>
            <a:latin typeface="Arial"/>
            <a:cs typeface="Arial"/>
          </a:endParaRPr>
        </a:p>
        <a:p>
          <a:pPr algn="l" rtl="0">
            <a:defRPr sz="1000"/>
          </a:pPr>
          <a:r>
            <a:rPr lang="en-CA" sz="1400" b="0" i="0" strike="noStrike">
              <a:solidFill>
                <a:srgbClr val="000000"/>
              </a:solidFill>
              <a:latin typeface="Arial"/>
              <a:cs typeface="Arial"/>
            </a:rPr>
            <a:t>When printing, be sure to select "print black ink only" under page setup so that you don't have a black &amp; blue binder!</a:t>
          </a:r>
        </a:p>
        <a:p>
          <a:pPr algn="l" rtl="0">
            <a:defRPr sz="1000"/>
          </a:pPr>
          <a:endParaRPr lang="en-CA" sz="1400" b="0" i="0" strike="noStrike">
            <a:solidFill>
              <a:srgbClr val="000000"/>
            </a:solidFill>
            <a:latin typeface="Arial"/>
            <a:cs typeface="Arial"/>
          </a:endParaRPr>
        </a:p>
        <a:p>
          <a:pPr algn="l" rtl="0">
            <a:defRPr sz="1000"/>
          </a:pPr>
          <a:r>
            <a:rPr lang="en-CA" sz="1400" b="0" i="0" strike="noStrike">
              <a:solidFill>
                <a:srgbClr val="000000"/>
              </a:solidFill>
              <a:latin typeface="Arial"/>
              <a:cs typeface="Arial"/>
            </a:rPr>
            <a:t>Have Fun!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72</xdr:row>
      <xdr:rowOff>28575</xdr:rowOff>
    </xdr:from>
    <xdr:to>
      <xdr:col>2</xdr:col>
      <xdr:colOff>876300</xdr:colOff>
      <xdr:row>81</xdr:row>
      <xdr:rowOff>76200</xdr:rowOff>
    </xdr:to>
    <xdr:sp macro="" textlink="">
      <xdr:nvSpPr>
        <xdr:cNvPr id="2049" name="Text Box 1">
          <a:extLst>
            <a:ext uri="{FF2B5EF4-FFF2-40B4-BE49-F238E27FC236}">
              <a16:creationId xmlns:a16="http://schemas.microsoft.com/office/drawing/2014/main" id="{00000000-0008-0000-0300-000001080000}"/>
            </a:ext>
          </a:extLst>
        </xdr:cNvPr>
        <xdr:cNvSpPr txBox="1">
          <a:spLocks noChangeArrowheads="1"/>
        </xdr:cNvSpPr>
      </xdr:nvSpPr>
      <xdr:spPr bwMode="auto">
        <a:xfrm>
          <a:off x="95250" y="12192000"/>
          <a:ext cx="4638675" cy="1504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CA" sz="1000" b="0" i="0" strike="noStrike">
              <a:solidFill>
                <a:srgbClr val="0000FF"/>
              </a:solidFill>
              <a:latin typeface="Arial"/>
              <a:cs typeface="Arial"/>
            </a:rPr>
            <a:t>Contact Telephon Numbers: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I31" sqref="I31"/>
    </sheetView>
  </sheetViews>
  <sheetFormatPr defaultColWidth="8.77734375" defaultRowHeight="13.2" x14ac:dyDescent="0.25"/>
  <sheetData/>
  <phoneticPr fontId="8" type="noConversion"/>
  <pageMargins left="0.75" right="0.75" top="1" bottom="1" header="0.5" footer="0.5"/>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3"/>
  <sheetViews>
    <sheetView topLeftCell="A21" zoomScale="125" zoomScaleNormal="125" zoomScalePageLayoutView="125" workbookViewId="0">
      <selection sqref="A1:C1"/>
    </sheetView>
  </sheetViews>
  <sheetFormatPr defaultColWidth="8.77734375" defaultRowHeight="13.2" x14ac:dyDescent="0.25"/>
  <cols>
    <col min="1" max="1" width="72.77734375" bestFit="1" customWidth="1"/>
    <col min="2" max="2" width="15.44140625" style="13" customWidth="1"/>
    <col min="3" max="3" width="14.77734375" style="13" bestFit="1" customWidth="1"/>
  </cols>
  <sheetData>
    <row r="1" spans="1:3" ht="24" customHeight="1" x14ac:dyDescent="0.4">
      <c r="A1" s="159" t="s">
        <v>124</v>
      </c>
      <c r="B1" s="160"/>
      <c r="C1" s="160"/>
    </row>
    <row r="2" spans="1:3" ht="15" customHeight="1" x14ac:dyDescent="0.25">
      <c r="A2" s="161">
        <f ca="1">TODAY()</f>
        <v>44209</v>
      </c>
      <c r="B2" s="162">
        <f ca="1">TODAY()</f>
        <v>44209</v>
      </c>
      <c r="C2" s="162">
        <f ca="1">TODAY()</f>
        <v>44209</v>
      </c>
    </row>
    <row r="3" spans="1:3" ht="15" customHeight="1" x14ac:dyDescent="0.25">
      <c r="A3" s="1"/>
    </row>
    <row r="4" spans="1:3" ht="15" customHeight="1" x14ac:dyDescent="0.25">
      <c r="A4" s="1"/>
    </row>
    <row r="5" spans="1:3" ht="15" customHeight="1" thickBot="1" x14ac:dyDescent="0.3">
      <c r="A5" s="2" t="s">
        <v>0</v>
      </c>
      <c r="B5" s="99" t="s">
        <v>1</v>
      </c>
      <c r="C5" s="99" t="s">
        <v>2</v>
      </c>
    </row>
    <row r="6" spans="1:3" ht="15" customHeight="1" x14ac:dyDescent="0.25">
      <c r="A6" s="3" t="s">
        <v>70</v>
      </c>
      <c r="B6" s="100">
        <f>'Real Estate Balance Sheet'!E38</f>
        <v>0</v>
      </c>
      <c r="C6" s="100"/>
    </row>
    <row r="7" spans="1:3" ht="15" customHeight="1" x14ac:dyDescent="0.25">
      <c r="A7" s="3" t="s">
        <v>123</v>
      </c>
      <c r="B7" s="101">
        <v>0</v>
      </c>
      <c r="C7" s="100"/>
    </row>
    <row r="8" spans="1:3" ht="15" customHeight="1" x14ac:dyDescent="0.25">
      <c r="A8" s="3" t="s">
        <v>122</v>
      </c>
      <c r="B8" s="101">
        <v>0</v>
      </c>
      <c r="C8" s="100"/>
    </row>
    <row r="9" spans="1:3" ht="15" customHeight="1" x14ac:dyDescent="0.25">
      <c r="A9" s="3" t="s">
        <v>122</v>
      </c>
      <c r="B9" s="102">
        <v>0</v>
      </c>
      <c r="C9" s="103"/>
    </row>
    <row r="10" spans="1:3" ht="15" customHeight="1" thickBot="1" x14ac:dyDescent="0.3">
      <c r="A10" s="4" t="s">
        <v>3</v>
      </c>
      <c r="B10" s="104"/>
      <c r="C10" s="105">
        <f>SUM(B6:B9)</f>
        <v>0</v>
      </c>
    </row>
    <row r="11" spans="1:3" ht="15" customHeight="1" thickTop="1" x14ac:dyDescent="0.25">
      <c r="A11" s="1"/>
    </row>
    <row r="12" spans="1:3" ht="15" customHeight="1" x14ac:dyDescent="0.3">
      <c r="A12" s="5" t="s">
        <v>4</v>
      </c>
    </row>
    <row r="13" spans="1:3" ht="15" customHeight="1" thickBot="1" x14ac:dyDescent="0.3">
      <c r="A13" s="2" t="s">
        <v>5</v>
      </c>
      <c r="B13" s="99" t="s">
        <v>1</v>
      </c>
      <c r="C13" s="99" t="s">
        <v>2</v>
      </c>
    </row>
    <row r="14" spans="1:3" ht="15" customHeight="1" x14ac:dyDescent="0.25">
      <c r="A14" s="3" t="s">
        <v>101</v>
      </c>
      <c r="B14" s="100">
        <f>'Overview Rentals'!F26+'Overview Rentals'!G26</f>
        <v>0</v>
      </c>
      <c r="C14" s="100"/>
    </row>
    <row r="15" spans="1:3" ht="15" customHeight="1" x14ac:dyDescent="0.25">
      <c r="A15" s="3" t="s">
        <v>102</v>
      </c>
      <c r="B15" s="100">
        <f>'Real Estate Balance Sheet'!H7</f>
        <v>0</v>
      </c>
      <c r="C15" s="100"/>
    </row>
    <row r="16" spans="1:3" ht="15" customHeight="1" x14ac:dyDescent="0.25">
      <c r="A16" s="3" t="s">
        <v>115</v>
      </c>
      <c r="B16" s="101">
        <v>0</v>
      </c>
      <c r="C16" s="100"/>
    </row>
    <row r="17" spans="1:3" ht="15" customHeight="1" x14ac:dyDescent="0.25">
      <c r="A17" s="3" t="s">
        <v>118</v>
      </c>
      <c r="B17" s="101">
        <v>0</v>
      </c>
      <c r="C17" s="100"/>
    </row>
    <row r="18" spans="1:3" ht="15" customHeight="1" x14ac:dyDescent="0.25">
      <c r="A18" s="3" t="s">
        <v>6</v>
      </c>
      <c r="B18" s="101">
        <v>0</v>
      </c>
      <c r="C18" s="100"/>
    </row>
    <row r="19" spans="1:3" ht="15" customHeight="1" x14ac:dyDescent="0.25">
      <c r="A19" s="3" t="s">
        <v>7</v>
      </c>
      <c r="B19" s="101">
        <v>0</v>
      </c>
      <c r="C19" s="100"/>
    </row>
    <row r="20" spans="1:3" ht="15" customHeight="1" x14ac:dyDescent="0.25">
      <c r="A20" s="3" t="s">
        <v>116</v>
      </c>
      <c r="B20" s="101">
        <v>0</v>
      </c>
      <c r="C20" s="100"/>
    </row>
    <row r="21" spans="1:3" ht="15" customHeight="1" x14ac:dyDescent="0.25">
      <c r="A21" s="3" t="s">
        <v>8</v>
      </c>
      <c r="B21" s="101">
        <v>0</v>
      </c>
      <c r="C21" s="100"/>
    </row>
    <row r="22" spans="1:3" ht="15" customHeight="1" x14ac:dyDescent="0.25">
      <c r="A22" s="3" t="s">
        <v>9</v>
      </c>
      <c r="B22" s="101">
        <v>0</v>
      </c>
      <c r="C22" s="100"/>
    </row>
    <row r="23" spans="1:3" ht="15" customHeight="1" x14ac:dyDescent="0.25">
      <c r="A23" s="3" t="s">
        <v>10</v>
      </c>
      <c r="B23" s="102">
        <v>0</v>
      </c>
      <c r="C23" s="106">
        <f>SUM(B14:B23)</f>
        <v>0</v>
      </c>
    </row>
    <row r="24" spans="1:3" ht="15" customHeight="1" thickBot="1" x14ac:dyDescent="0.3">
      <c r="A24" s="2" t="s">
        <v>11</v>
      </c>
      <c r="B24" s="99" t="s">
        <v>1</v>
      </c>
      <c r="C24" s="99" t="s">
        <v>2</v>
      </c>
    </row>
    <row r="25" spans="1:3" ht="15" customHeight="1" x14ac:dyDescent="0.25">
      <c r="A25" s="3" t="s">
        <v>12</v>
      </c>
      <c r="B25" s="101">
        <v>0</v>
      </c>
      <c r="C25" s="100"/>
    </row>
    <row r="26" spans="1:3" ht="15" customHeight="1" x14ac:dyDescent="0.25">
      <c r="A26" s="3" t="s">
        <v>13</v>
      </c>
      <c r="B26" s="101">
        <v>0</v>
      </c>
      <c r="C26" s="100"/>
    </row>
    <row r="27" spans="1:3" ht="15" customHeight="1" x14ac:dyDescent="0.25">
      <c r="A27" s="3" t="s">
        <v>14</v>
      </c>
      <c r="B27" s="101">
        <v>0</v>
      </c>
      <c r="C27" s="100"/>
    </row>
    <row r="28" spans="1:3" ht="15" customHeight="1" x14ac:dyDescent="0.25">
      <c r="A28" s="3" t="s">
        <v>15</v>
      </c>
      <c r="B28" s="101">
        <v>0</v>
      </c>
      <c r="C28" s="100"/>
    </row>
    <row r="29" spans="1:3" ht="15" customHeight="1" x14ac:dyDescent="0.25">
      <c r="A29" s="3" t="s">
        <v>16</v>
      </c>
      <c r="B29" s="102">
        <v>0</v>
      </c>
      <c r="C29" s="107">
        <f>SUM(B25:B29)</f>
        <v>0</v>
      </c>
    </row>
    <row r="30" spans="1:3" ht="15" customHeight="1" thickBot="1" x14ac:dyDescent="0.3">
      <c r="A30" s="7" t="s">
        <v>17</v>
      </c>
      <c r="B30" s="108" t="s">
        <v>18</v>
      </c>
      <c r="C30" s="109" t="s">
        <v>1</v>
      </c>
    </row>
    <row r="31" spans="1:3" ht="15" customHeight="1" x14ac:dyDescent="0.25">
      <c r="A31" s="8" t="s">
        <v>113</v>
      </c>
      <c r="B31" s="110">
        <v>0</v>
      </c>
      <c r="C31" s="111">
        <f>B31/12</f>
        <v>0</v>
      </c>
    </row>
    <row r="32" spans="1:3" ht="15" customHeight="1" x14ac:dyDescent="0.25">
      <c r="A32" s="135" t="s">
        <v>114</v>
      </c>
      <c r="B32" s="136">
        <v>0</v>
      </c>
      <c r="C32" s="111">
        <f>B32/12</f>
        <v>0</v>
      </c>
    </row>
    <row r="33" spans="1:3" ht="15" customHeight="1" x14ac:dyDescent="0.25">
      <c r="A33" s="3" t="s">
        <v>19</v>
      </c>
      <c r="B33" s="101">
        <v>0</v>
      </c>
      <c r="C33" s="111">
        <f>(B33*4)/12</f>
        <v>0</v>
      </c>
    </row>
    <row r="34" spans="1:3" ht="15" customHeight="1" x14ac:dyDescent="0.25">
      <c r="A34" s="3" t="s">
        <v>20</v>
      </c>
      <c r="B34" s="102">
        <v>0</v>
      </c>
      <c r="C34" s="111">
        <f>B34/12</f>
        <v>0</v>
      </c>
    </row>
    <row r="35" spans="1:3" ht="15" customHeight="1" thickBot="1" x14ac:dyDescent="0.3">
      <c r="A35" s="4" t="s">
        <v>21</v>
      </c>
      <c r="B35" s="112"/>
      <c r="C35" s="105">
        <f>SUM(C29,C23,C31:C34)</f>
        <v>0</v>
      </c>
    </row>
    <row r="36" spans="1:3" ht="15" customHeight="1" thickTop="1" x14ac:dyDescent="0.25">
      <c r="A36" s="1"/>
    </row>
    <row r="37" spans="1:3" ht="15" customHeight="1" thickBot="1" x14ac:dyDescent="0.3">
      <c r="A37" s="9" t="s">
        <v>22</v>
      </c>
      <c r="B37" s="113">
        <f>C10-C35</f>
        <v>0</v>
      </c>
      <c r="C37" s="114"/>
    </row>
    <row r="38" spans="1:3" ht="15" customHeight="1" thickTop="1" x14ac:dyDescent="0.25"/>
    <row r="39" spans="1:3" ht="15" customHeight="1" x14ac:dyDescent="0.25"/>
    <row r="40" spans="1:3" ht="15" customHeight="1" x14ac:dyDescent="0.25"/>
    <row r="41" spans="1:3" ht="15" customHeight="1" x14ac:dyDescent="0.25"/>
    <row r="42" spans="1:3" ht="15" customHeight="1" x14ac:dyDescent="0.25"/>
    <row r="43" spans="1:3" ht="15" customHeight="1" x14ac:dyDescent="0.25"/>
  </sheetData>
  <mergeCells count="2">
    <mergeCell ref="A1:C1"/>
    <mergeCell ref="A2:C2"/>
  </mergeCells>
  <phoneticPr fontId="8" type="noConversion"/>
  <pageMargins left="0.75" right="0.75" top="1" bottom="1" header="0.5" footer="0.5"/>
  <pageSetup scale="88" orientation="portrait" horizontalDpi="300" verticalDpi="300"/>
  <headerFooter alignWithMargins="0"/>
  <cellWatches>
    <cellWatch r="A25"/>
  </cellWatches>
  <ignoredErrors>
    <ignoredError sqref="C33"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6"/>
  <sheetViews>
    <sheetView zoomScale="125" zoomScaleNormal="125" zoomScalePageLayoutView="125" workbookViewId="0">
      <selection activeCell="A22" sqref="A22"/>
    </sheetView>
  </sheetViews>
  <sheetFormatPr defaultColWidth="8.77734375" defaultRowHeight="13.2" x14ac:dyDescent="0.25"/>
  <cols>
    <col min="1" max="1" width="44.109375" customWidth="1"/>
    <col min="2" max="2" width="17.33203125" customWidth="1"/>
    <col min="3" max="3" width="1.44140625" customWidth="1"/>
    <col min="4" max="4" width="33" customWidth="1"/>
    <col min="5" max="5" width="16" bestFit="1" customWidth="1"/>
    <col min="6" max="6" width="8.77734375" customWidth="1"/>
    <col min="7" max="7" width="23.44140625" customWidth="1"/>
    <col min="8" max="8" width="14.6640625" customWidth="1"/>
    <col min="9" max="9" width="14.77734375" customWidth="1"/>
    <col min="10" max="10" width="14.6640625" customWidth="1"/>
  </cols>
  <sheetData>
    <row r="1" spans="1:10" ht="22.8" x14ac:dyDescent="0.4">
      <c r="A1" s="163" t="s">
        <v>131</v>
      </c>
      <c r="B1" s="163"/>
      <c r="C1" s="163"/>
      <c r="D1" s="163"/>
      <c r="E1" s="163"/>
    </row>
    <row r="2" spans="1:10" x14ac:dyDescent="0.25">
      <c r="A2" s="164">
        <f ca="1">TODAY()</f>
        <v>44209</v>
      </c>
      <c r="B2" s="164"/>
      <c r="C2" s="164"/>
      <c r="D2" s="164"/>
      <c r="E2" s="164"/>
    </row>
    <row r="3" spans="1:10" x14ac:dyDescent="0.25">
      <c r="B3" s="13"/>
      <c r="E3" s="13"/>
    </row>
    <row r="4" spans="1:10" ht="15.6" x14ac:dyDescent="0.3">
      <c r="A4" s="20" t="s">
        <v>23</v>
      </c>
      <c r="B4" s="13"/>
      <c r="D4" s="20" t="s">
        <v>31</v>
      </c>
      <c r="E4" s="13"/>
      <c r="G4" s="165" t="s">
        <v>106</v>
      </c>
      <c r="H4" s="165"/>
      <c r="I4" s="165"/>
    </row>
    <row r="5" spans="1:10" x14ac:dyDescent="0.25">
      <c r="B5" s="13"/>
    </row>
    <row r="6" spans="1:10" x14ac:dyDescent="0.25">
      <c r="A6" s="6" t="s">
        <v>37</v>
      </c>
      <c r="B6" s="13"/>
      <c r="D6" s="6" t="s">
        <v>86</v>
      </c>
      <c r="E6" s="13"/>
      <c r="H6" s="6" t="s">
        <v>107</v>
      </c>
      <c r="I6" s="6" t="s">
        <v>108</v>
      </c>
      <c r="J6" s="6" t="s">
        <v>117</v>
      </c>
    </row>
    <row r="7" spans="1:10" x14ac:dyDescent="0.25">
      <c r="A7" t="s">
        <v>91</v>
      </c>
      <c r="B7" s="13">
        <f>'RRSP &amp; Credit'!C60</f>
        <v>0</v>
      </c>
      <c r="C7" t="s">
        <v>35</v>
      </c>
      <c r="D7" s="1" t="s">
        <v>87</v>
      </c>
      <c r="E7" s="13">
        <f>'Real Estate Balance Sheet'!G38</f>
        <v>0</v>
      </c>
      <c r="G7" t="s">
        <v>125</v>
      </c>
      <c r="H7" s="122"/>
      <c r="I7" s="123"/>
      <c r="J7" s="64"/>
    </row>
    <row r="8" spans="1:10" x14ac:dyDescent="0.25">
      <c r="A8" s="66" t="s">
        <v>92</v>
      </c>
      <c r="B8" s="13">
        <f>'RRSP &amp; Credit'!C69</f>
        <v>0</v>
      </c>
      <c r="C8" t="s">
        <v>36</v>
      </c>
      <c r="D8" s="18" t="s">
        <v>88</v>
      </c>
      <c r="E8" s="13">
        <f>'Real Estate Balance Sheet'!G17</f>
        <v>0</v>
      </c>
      <c r="G8" t="s">
        <v>125</v>
      </c>
      <c r="H8" s="122"/>
      <c r="I8" s="123"/>
      <c r="J8" s="64"/>
    </row>
    <row r="9" spans="1:10" x14ac:dyDescent="0.25">
      <c r="A9" t="s">
        <v>24</v>
      </c>
      <c r="B9" s="14">
        <f>SUM(B7:B8)</f>
        <v>0</v>
      </c>
      <c r="D9" s="1" t="s">
        <v>89</v>
      </c>
      <c r="E9" s="14">
        <f>SUM(E7:E8)</f>
        <v>0</v>
      </c>
      <c r="G9" t="s">
        <v>125</v>
      </c>
      <c r="H9" s="122"/>
      <c r="I9" s="123"/>
      <c r="J9" s="64"/>
    </row>
    <row r="10" spans="1:10" x14ac:dyDescent="0.25">
      <c r="B10" s="13"/>
      <c r="E10" s="13"/>
      <c r="G10" t="s">
        <v>125</v>
      </c>
      <c r="H10" s="124"/>
      <c r="I10" s="123"/>
      <c r="J10" s="64"/>
    </row>
    <row r="11" spans="1:10" x14ac:dyDescent="0.25">
      <c r="A11" s="6" t="s">
        <v>103</v>
      </c>
      <c r="B11" s="13"/>
      <c r="E11" s="14"/>
      <c r="G11" t="s">
        <v>125</v>
      </c>
      <c r="H11" s="124"/>
      <c r="I11" s="123"/>
      <c r="J11" s="64"/>
    </row>
    <row r="12" spans="1:10" x14ac:dyDescent="0.25">
      <c r="A12" t="s">
        <v>93</v>
      </c>
      <c r="B12" s="13">
        <f>'RRSP &amp; Credit'!D22</f>
        <v>0</v>
      </c>
      <c r="D12" s="6" t="s">
        <v>98</v>
      </c>
      <c r="E12" s="13"/>
      <c r="G12" t="s">
        <v>125</v>
      </c>
      <c r="H12" s="124"/>
      <c r="I12" s="123"/>
      <c r="J12" s="64"/>
    </row>
    <row r="13" spans="1:10" x14ac:dyDescent="0.25">
      <c r="A13" s="67" t="s">
        <v>74</v>
      </c>
      <c r="B13" s="44">
        <f>SUM(J7:J13)</f>
        <v>0</v>
      </c>
      <c r="D13" t="s">
        <v>97</v>
      </c>
      <c r="E13" s="14">
        <f>'RRSP &amp; Credit'!C39</f>
        <v>0</v>
      </c>
      <c r="G13" s="1"/>
      <c r="H13" s="124"/>
      <c r="I13" s="123"/>
      <c r="J13" s="64"/>
    </row>
    <row r="14" spans="1:10" x14ac:dyDescent="0.25">
      <c r="A14" s="1" t="s">
        <v>25</v>
      </c>
      <c r="B14" s="14">
        <f>SUM(B12:B13)</f>
        <v>0</v>
      </c>
      <c r="E14" s="14"/>
    </row>
    <row r="15" spans="1:10" x14ac:dyDescent="0.25">
      <c r="B15" s="13"/>
      <c r="E15" s="13"/>
    </row>
    <row r="16" spans="1:10" x14ac:dyDescent="0.25">
      <c r="A16" s="6" t="s">
        <v>75</v>
      </c>
      <c r="B16" s="13"/>
      <c r="D16" s="6" t="s">
        <v>99</v>
      </c>
      <c r="E16" s="6"/>
    </row>
    <row r="17" spans="1:5" x14ac:dyDescent="0.25">
      <c r="A17" s="12" t="s">
        <v>76</v>
      </c>
      <c r="B17" s="13">
        <f>'Overview Rentals'!D26</f>
        <v>0</v>
      </c>
      <c r="D17" t="s">
        <v>32</v>
      </c>
      <c r="E17" s="14">
        <f>'RRSP &amp; Credit'!C47</f>
        <v>0</v>
      </c>
    </row>
    <row r="18" spans="1:5" x14ac:dyDescent="0.25">
      <c r="A18" s="11" t="s">
        <v>85</v>
      </c>
      <c r="B18" s="13">
        <f>'Real Estate Balance Sheet'!D17</f>
        <v>500000</v>
      </c>
      <c r="E18" s="13"/>
    </row>
    <row r="19" spans="1:5" x14ac:dyDescent="0.25">
      <c r="A19" s="1" t="s">
        <v>84</v>
      </c>
      <c r="B19" s="14">
        <f>(B17+B18)</f>
        <v>500000</v>
      </c>
      <c r="E19" s="13"/>
    </row>
    <row r="20" spans="1:5" x14ac:dyDescent="0.25">
      <c r="B20" s="13"/>
    </row>
    <row r="21" spans="1:5" x14ac:dyDescent="0.25">
      <c r="A21" s="6" t="s">
        <v>26</v>
      </c>
      <c r="B21" s="13"/>
      <c r="E21" s="13"/>
    </row>
    <row r="22" spans="1:5" x14ac:dyDescent="0.25">
      <c r="A22" s="63" t="s">
        <v>27</v>
      </c>
      <c r="B22" s="64">
        <v>0</v>
      </c>
      <c r="E22" s="13"/>
    </row>
    <row r="23" spans="1:5" x14ac:dyDescent="0.25">
      <c r="A23" s="65" t="s">
        <v>94</v>
      </c>
      <c r="B23" s="64">
        <v>0</v>
      </c>
      <c r="E23" s="13"/>
    </row>
    <row r="24" spans="1:5" x14ac:dyDescent="0.25">
      <c r="A24" s="115" t="s">
        <v>127</v>
      </c>
      <c r="B24" s="64">
        <v>0</v>
      </c>
      <c r="E24" s="13"/>
    </row>
    <row r="25" spans="1:5" x14ac:dyDescent="0.25">
      <c r="A25" s="115" t="s">
        <v>126</v>
      </c>
      <c r="B25" s="64">
        <v>0</v>
      </c>
      <c r="E25" s="13"/>
    </row>
    <row r="26" spans="1:5" x14ac:dyDescent="0.25">
      <c r="A26" s="65" t="s">
        <v>28</v>
      </c>
      <c r="B26" s="64">
        <v>0</v>
      </c>
      <c r="E26" s="13"/>
    </row>
    <row r="27" spans="1:5" x14ac:dyDescent="0.25">
      <c r="A27" s="65" t="s">
        <v>29</v>
      </c>
      <c r="B27" s="64">
        <v>0</v>
      </c>
      <c r="E27" s="13"/>
    </row>
    <row r="28" spans="1:5" x14ac:dyDescent="0.25">
      <c r="A28" s="115" t="s">
        <v>109</v>
      </c>
      <c r="B28" s="64">
        <v>0</v>
      </c>
      <c r="E28" s="13"/>
    </row>
    <row r="29" spans="1:5" x14ac:dyDescent="0.25">
      <c r="A29" s="65"/>
      <c r="B29" s="64"/>
      <c r="E29" s="13"/>
    </row>
    <row r="30" spans="1:5" x14ac:dyDescent="0.25">
      <c r="A30" s="65"/>
      <c r="B30" s="64"/>
      <c r="E30" s="13"/>
    </row>
    <row r="31" spans="1:5" x14ac:dyDescent="0.25">
      <c r="A31" s="65"/>
      <c r="B31" s="64">
        <v>0</v>
      </c>
      <c r="E31" s="13"/>
    </row>
    <row r="32" spans="1:5" x14ac:dyDescent="0.25">
      <c r="A32" s="1" t="s">
        <v>30</v>
      </c>
      <c r="B32" s="14">
        <f>SUM(B22:B31)</f>
        <v>0</v>
      </c>
      <c r="E32" s="13"/>
    </row>
    <row r="33" spans="1:5" x14ac:dyDescent="0.25">
      <c r="B33" s="13"/>
      <c r="E33" s="13"/>
    </row>
    <row r="34" spans="1:5" ht="15.6" x14ac:dyDescent="0.3">
      <c r="A34" s="16" t="s">
        <v>33</v>
      </c>
      <c r="B34" s="17">
        <f>B9+B14+B32+B19</f>
        <v>500000</v>
      </c>
      <c r="D34" s="16" t="s">
        <v>34</v>
      </c>
      <c r="E34" s="17">
        <f>E17+E13+E9</f>
        <v>0</v>
      </c>
    </row>
    <row r="35" spans="1:5" x14ac:dyDescent="0.25">
      <c r="B35" s="13"/>
      <c r="E35" s="13"/>
    </row>
    <row r="36" spans="1:5" ht="15.6" x14ac:dyDescent="0.3">
      <c r="A36" s="89" t="s">
        <v>100</v>
      </c>
      <c r="B36" s="17">
        <f>B34-E34</f>
        <v>500000</v>
      </c>
      <c r="E36" s="13"/>
    </row>
  </sheetData>
  <mergeCells count="3">
    <mergeCell ref="A1:E1"/>
    <mergeCell ref="A2:E2"/>
    <mergeCell ref="G4:I4"/>
  </mergeCells>
  <phoneticPr fontId="8" type="noConversion"/>
  <pageMargins left="0.75" right="0.75" top="1" bottom="1" header="0.5" footer="0.5"/>
  <pageSetup scale="97" orientation="landscape" horizontalDpi="300" verticalDpi="300"/>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2"/>
  <sheetViews>
    <sheetView topLeftCell="A43" zoomScale="125" zoomScaleNormal="125" zoomScalePageLayoutView="125" workbookViewId="0">
      <selection activeCell="A2" sqref="A2:D2"/>
    </sheetView>
  </sheetViews>
  <sheetFormatPr defaultColWidth="8.77734375" defaultRowHeight="13.2" x14ac:dyDescent="0.25"/>
  <cols>
    <col min="1" max="1" width="41.33203125" customWidth="1"/>
    <col min="2" max="2" width="16.44140625" customWidth="1"/>
    <col min="3" max="3" width="17.44140625" customWidth="1"/>
    <col min="4" max="4" width="16.77734375" customWidth="1"/>
    <col min="5" max="5" width="9.109375" customWidth="1"/>
    <col min="6" max="6" width="13" customWidth="1"/>
    <col min="7" max="7" width="12.6640625" customWidth="1"/>
  </cols>
  <sheetData>
    <row r="1" spans="1:7" ht="22.8" x14ac:dyDescent="0.4">
      <c r="A1" s="159" t="s">
        <v>38</v>
      </c>
      <c r="B1" s="159"/>
      <c r="C1" s="159"/>
      <c r="D1" s="159"/>
    </row>
    <row r="2" spans="1:7" ht="22.8" x14ac:dyDescent="0.4">
      <c r="A2" s="159" t="s">
        <v>130</v>
      </c>
      <c r="B2" s="159"/>
      <c r="C2" s="159"/>
      <c r="D2" s="159"/>
    </row>
    <row r="3" spans="1:7" x14ac:dyDescent="0.25">
      <c r="A3" s="22">
        <f ca="1">TODAY()</f>
        <v>44209</v>
      </c>
      <c r="B3" s="22"/>
    </row>
    <row r="4" spans="1:7" x14ac:dyDescent="0.25">
      <c r="B4" s="13"/>
    </row>
    <row r="5" spans="1:7" ht="27" thickBot="1" x14ac:dyDescent="0.3">
      <c r="A5" s="19" t="s">
        <v>96</v>
      </c>
      <c r="B5" s="129" t="s">
        <v>111</v>
      </c>
      <c r="C5" s="130" t="s">
        <v>112</v>
      </c>
      <c r="F5" s="130" t="s">
        <v>120</v>
      </c>
      <c r="G5" s="130" t="s">
        <v>121</v>
      </c>
    </row>
    <row r="6" spans="1:7" x14ac:dyDescent="0.25">
      <c r="A6" s="117"/>
      <c r="B6" s="132"/>
      <c r="C6" s="131"/>
      <c r="D6" s="141"/>
      <c r="E6" s="148"/>
      <c r="F6" s="144"/>
      <c r="G6" s="139"/>
    </row>
    <row r="7" spans="1:7" x14ac:dyDescent="0.25">
      <c r="A7" s="118"/>
      <c r="B7" s="133"/>
      <c r="C7" s="131"/>
      <c r="D7" s="142"/>
      <c r="E7" s="148"/>
      <c r="F7" s="145"/>
      <c r="G7" s="97"/>
    </row>
    <row r="8" spans="1:7" x14ac:dyDescent="0.25">
      <c r="A8" s="118"/>
      <c r="B8" s="133"/>
      <c r="C8" s="131"/>
      <c r="D8" s="142"/>
      <c r="E8" s="148"/>
      <c r="F8" s="145"/>
      <c r="G8" s="97"/>
    </row>
    <row r="9" spans="1:7" x14ac:dyDescent="0.25">
      <c r="A9" s="119"/>
      <c r="B9" s="132"/>
      <c r="C9" s="131"/>
      <c r="D9" s="142"/>
      <c r="E9" s="148"/>
      <c r="F9" s="145"/>
      <c r="G9" s="97"/>
    </row>
    <row r="10" spans="1:7" x14ac:dyDescent="0.25">
      <c r="A10" s="119"/>
      <c r="B10" s="133"/>
      <c r="C10" s="131"/>
      <c r="D10" s="142"/>
      <c r="E10" s="148"/>
      <c r="F10" s="145"/>
      <c r="G10" s="97"/>
    </row>
    <row r="11" spans="1:7" x14ac:dyDescent="0.25">
      <c r="A11" s="119"/>
      <c r="B11" s="132"/>
      <c r="C11" s="131"/>
      <c r="D11" s="142"/>
      <c r="E11" s="148"/>
      <c r="F11" s="145"/>
      <c r="G11" s="97"/>
    </row>
    <row r="12" spans="1:7" x14ac:dyDescent="0.25">
      <c r="A12" s="119"/>
      <c r="B12" s="26"/>
      <c r="C12" s="26"/>
      <c r="D12" s="142"/>
      <c r="E12" s="148"/>
      <c r="F12" s="145"/>
      <c r="G12" s="97"/>
    </row>
    <row r="13" spans="1:7" x14ac:dyDescent="0.25">
      <c r="A13" s="119"/>
      <c r="B13" s="133"/>
      <c r="C13" s="131"/>
      <c r="D13" s="142"/>
      <c r="E13" s="148"/>
      <c r="F13" s="145"/>
      <c r="G13" s="97"/>
    </row>
    <row r="14" spans="1:7" x14ac:dyDescent="0.25">
      <c r="A14" s="119"/>
      <c r="B14" s="133"/>
      <c r="C14" s="131"/>
      <c r="D14" s="142"/>
      <c r="E14" s="148"/>
      <c r="F14" s="145"/>
      <c r="G14" s="97"/>
    </row>
    <row r="15" spans="1:7" x14ac:dyDescent="0.25">
      <c r="A15" s="119"/>
      <c r="B15" s="133"/>
      <c r="C15" s="131"/>
      <c r="D15" s="142"/>
      <c r="E15" s="148"/>
      <c r="F15" s="145"/>
      <c r="G15" s="97"/>
    </row>
    <row r="16" spans="1:7" x14ac:dyDescent="0.25">
      <c r="A16" s="119"/>
      <c r="B16" s="133"/>
      <c r="C16" s="131"/>
      <c r="D16" s="142"/>
      <c r="E16" s="148"/>
      <c r="F16" s="146"/>
      <c r="G16" s="140"/>
    </row>
    <row r="17" spans="1:7" x14ac:dyDescent="0.25">
      <c r="A17" s="95"/>
      <c r="B17" s="133"/>
      <c r="C17" s="131"/>
      <c r="D17" s="142"/>
      <c r="E17" s="148"/>
      <c r="F17" s="145"/>
      <c r="G17" s="97"/>
    </row>
    <row r="18" spans="1:7" x14ac:dyDescent="0.25">
      <c r="A18" s="95"/>
      <c r="B18" s="133"/>
      <c r="C18" s="131"/>
      <c r="D18" s="142"/>
      <c r="E18" s="148"/>
      <c r="F18" s="145"/>
      <c r="G18" s="97"/>
    </row>
    <row r="19" spans="1:7" x14ac:dyDescent="0.25">
      <c r="A19" s="95"/>
      <c r="B19" s="133"/>
      <c r="C19" s="131"/>
      <c r="D19" s="142"/>
      <c r="E19" s="148"/>
      <c r="F19" s="145"/>
      <c r="G19" s="97"/>
    </row>
    <row r="20" spans="1:7" x14ac:dyDescent="0.25">
      <c r="A20" s="96"/>
      <c r="B20" s="133"/>
      <c r="C20" s="26"/>
      <c r="D20" s="97"/>
      <c r="E20" s="148"/>
      <c r="F20" s="145"/>
      <c r="G20" s="97"/>
    </row>
    <row r="21" spans="1:7" ht="13.8" thickBot="1" x14ac:dyDescent="0.3">
      <c r="A21" s="98"/>
      <c r="B21" s="94"/>
      <c r="C21" s="94"/>
      <c r="D21" s="143"/>
      <c r="E21" s="148"/>
      <c r="F21" s="147"/>
      <c r="G21" s="138"/>
    </row>
    <row r="22" spans="1:7" ht="15.6" x14ac:dyDescent="0.3">
      <c r="A22" s="49" t="s">
        <v>90</v>
      </c>
      <c r="D22" s="50">
        <f>SUM(D6:D21)</f>
        <v>0</v>
      </c>
    </row>
    <row r="25" spans="1:7" ht="22.8" x14ac:dyDescent="0.4">
      <c r="A25" s="159" t="s">
        <v>39</v>
      </c>
      <c r="B25" s="159"/>
      <c r="C25" s="159"/>
      <c r="D25" s="159"/>
    </row>
    <row r="26" spans="1:7" ht="22.8" x14ac:dyDescent="0.4">
      <c r="A26" s="159" t="s">
        <v>40</v>
      </c>
      <c r="B26" s="159"/>
      <c r="C26" s="159"/>
      <c r="D26" s="159"/>
    </row>
    <row r="27" spans="1:7" x14ac:dyDescent="0.25">
      <c r="A27" s="166">
        <f ca="1">TODAY()</f>
        <v>44209</v>
      </c>
      <c r="B27" s="166"/>
      <c r="C27" s="166"/>
      <c r="D27" s="166"/>
    </row>
    <row r="28" spans="1:7" ht="15.6" x14ac:dyDescent="0.3">
      <c r="A28" s="20"/>
      <c r="B28" s="29"/>
      <c r="C28" s="30"/>
      <c r="D28" s="30"/>
    </row>
    <row r="29" spans="1:7" x14ac:dyDescent="0.25">
      <c r="B29" s="29" t="s">
        <v>1</v>
      </c>
      <c r="C29" s="30" t="s">
        <v>42</v>
      </c>
      <c r="D29" s="116" t="s">
        <v>104</v>
      </c>
      <c r="F29" s="30" t="s">
        <v>68</v>
      </c>
      <c r="G29" s="125" t="s">
        <v>110</v>
      </c>
    </row>
    <row r="30" spans="1:7" x14ac:dyDescent="0.25">
      <c r="A30" s="25" t="s">
        <v>95</v>
      </c>
      <c r="B30" s="30" t="s">
        <v>41</v>
      </c>
      <c r="C30" s="30" t="s">
        <v>43</v>
      </c>
      <c r="D30" s="30" t="s">
        <v>105</v>
      </c>
    </row>
    <row r="31" spans="1:7" x14ac:dyDescent="0.25">
      <c r="A31" s="60"/>
      <c r="B31" s="127">
        <f>(C31*G31)/12</f>
        <v>0</v>
      </c>
      <c r="C31" s="48"/>
      <c r="D31" s="127">
        <f>F31-C31</f>
        <v>0</v>
      </c>
      <c r="F31" s="121"/>
      <c r="G31" s="128">
        <v>0.04</v>
      </c>
    </row>
    <row r="32" spans="1:7" x14ac:dyDescent="0.25">
      <c r="A32" s="60"/>
      <c r="B32" s="127">
        <f>(C32*G32)/12</f>
        <v>0</v>
      </c>
      <c r="C32" s="48"/>
      <c r="D32" s="127">
        <f>F32-C32</f>
        <v>0</v>
      </c>
      <c r="F32" s="121"/>
      <c r="G32" s="126">
        <v>0.08</v>
      </c>
    </row>
    <row r="33" spans="1:6" x14ac:dyDescent="0.25">
      <c r="A33" s="60"/>
      <c r="B33" s="54"/>
      <c r="C33" s="48"/>
      <c r="D33" s="54"/>
    </row>
    <row r="34" spans="1:6" x14ac:dyDescent="0.25">
      <c r="A34" s="59"/>
      <c r="B34" s="54"/>
      <c r="C34" s="54"/>
      <c r="D34" s="54"/>
    </row>
    <row r="35" spans="1:6" x14ac:dyDescent="0.25">
      <c r="A35" s="59"/>
      <c r="B35" s="54"/>
      <c r="C35" s="54"/>
      <c r="D35" s="54"/>
    </row>
    <row r="36" spans="1:6" x14ac:dyDescent="0.25">
      <c r="A36" s="59"/>
      <c r="B36" s="54">
        <v>0</v>
      </c>
      <c r="C36" s="54">
        <v>0</v>
      </c>
      <c r="D36" s="54">
        <v>0</v>
      </c>
    </row>
    <row r="37" spans="1:6" x14ac:dyDescent="0.25">
      <c r="A37" s="59"/>
      <c r="B37" s="54"/>
      <c r="C37" s="54"/>
      <c r="D37" s="54"/>
    </row>
    <row r="38" spans="1:6" x14ac:dyDescent="0.25">
      <c r="A38" s="58"/>
      <c r="B38" s="54">
        <v>0</v>
      </c>
      <c r="C38" s="48">
        <v>0</v>
      </c>
      <c r="D38" s="54">
        <v>0</v>
      </c>
    </row>
    <row r="39" spans="1:6" x14ac:dyDescent="0.25">
      <c r="A39" s="24" t="s">
        <v>71</v>
      </c>
      <c r="B39" s="32">
        <f>SUM(B31:B38)</f>
        <v>0</v>
      </c>
      <c r="C39" s="32">
        <f>SUM(C31:C38)</f>
        <v>0</v>
      </c>
      <c r="D39" s="32">
        <f>SUM(D31:D38)</f>
        <v>0</v>
      </c>
    </row>
    <row r="40" spans="1:6" ht="15.6" x14ac:dyDescent="0.3">
      <c r="A40" s="16"/>
      <c r="B40" s="28"/>
      <c r="C40" s="27"/>
      <c r="D40" s="27"/>
    </row>
    <row r="41" spans="1:6" x14ac:dyDescent="0.25">
      <c r="A41" s="6" t="s">
        <v>44</v>
      </c>
      <c r="B41" s="27"/>
      <c r="C41" s="27"/>
      <c r="D41" s="27"/>
      <c r="F41" s="30" t="s">
        <v>68</v>
      </c>
    </row>
    <row r="42" spans="1:6" x14ac:dyDescent="0.25">
      <c r="A42" s="59"/>
      <c r="B42" s="54"/>
      <c r="C42" s="48"/>
      <c r="D42" s="54">
        <f>F42-C42</f>
        <v>0</v>
      </c>
      <c r="F42" s="121">
        <v>0</v>
      </c>
    </row>
    <row r="43" spans="1:6" x14ac:dyDescent="0.25">
      <c r="A43" s="60"/>
      <c r="B43" s="54"/>
      <c r="C43" s="48"/>
      <c r="D43" s="54">
        <f>F43-C43</f>
        <v>0</v>
      </c>
      <c r="F43" s="121">
        <v>0</v>
      </c>
    </row>
    <row r="44" spans="1:6" x14ac:dyDescent="0.25">
      <c r="A44" s="60"/>
      <c r="B44" s="54">
        <v>0</v>
      </c>
      <c r="C44" s="48"/>
      <c r="D44" s="54">
        <f>F44-C44</f>
        <v>0</v>
      </c>
      <c r="F44" s="121">
        <v>0</v>
      </c>
    </row>
    <row r="45" spans="1:6" x14ac:dyDescent="0.25">
      <c r="A45" s="60"/>
      <c r="B45" s="54"/>
      <c r="C45" s="48"/>
      <c r="D45" s="54"/>
      <c r="F45" s="121">
        <v>0</v>
      </c>
    </row>
    <row r="46" spans="1:6" x14ac:dyDescent="0.25">
      <c r="A46" s="59"/>
      <c r="B46" s="54">
        <v>0</v>
      </c>
      <c r="C46" s="48">
        <v>0</v>
      </c>
      <c r="D46" s="54">
        <v>0</v>
      </c>
    </row>
    <row r="47" spans="1:6" x14ac:dyDescent="0.25">
      <c r="A47" s="23" t="s">
        <v>45</v>
      </c>
      <c r="B47" s="32">
        <f>SUM(B42:B46)</f>
        <v>0</v>
      </c>
      <c r="C47" s="32">
        <f>SUM(C42:C46)</f>
        <v>0</v>
      </c>
      <c r="D47" s="32">
        <f>SUM(D42:D46)</f>
        <v>0</v>
      </c>
    </row>
    <row r="48" spans="1:6" x14ac:dyDescent="0.25">
      <c r="B48" s="27"/>
      <c r="C48" s="27"/>
      <c r="D48" s="27"/>
    </row>
    <row r="49" spans="1:4" x14ac:dyDescent="0.25">
      <c r="A49" s="6" t="s">
        <v>46</v>
      </c>
      <c r="B49" s="27"/>
      <c r="C49" s="27"/>
      <c r="D49" s="27"/>
    </row>
    <row r="50" spans="1:4" x14ac:dyDescent="0.25">
      <c r="A50" s="60"/>
      <c r="B50" s="54"/>
      <c r="C50" s="48"/>
      <c r="D50" s="54">
        <v>0</v>
      </c>
    </row>
    <row r="51" spans="1:4" x14ac:dyDescent="0.25">
      <c r="A51" s="60"/>
      <c r="B51" s="54"/>
      <c r="C51" s="48"/>
      <c r="D51" s="54"/>
    </row>
    <row r="52" spans="1:4" x14ac:dyDescent="0.25">
      <c r="A52" s="60"/>
      <c r="B52" s="54"/>
      <c r="C52" s="48"/>
      <c r="D52" s="54">
        <v>0</v>
      </c>
    </row>
    <row r="53" spans="1:4" x14ac:dyDescent="0.25">
      <c r="A53" s="60"/>
      <c r="B53" s="54"/>
      <c r="C53" s="48"/>
      <c r="D53" s="54">
        <v>0</v>
      </c>
    </row>
    <row r="54" spans="1:4" x14ac:dyDescent="0.25">
      <c r="A54" s="60"/>
      <c r="B54" s="54"/>
      <c r="C54" s="48"/>
      <c r="D54" s="54"/>
    </row>
    <row r="55" spans="1:4" x14ac:dyDescent="0.25">
      <c r="A55" s="60"/>
      <c r="B55" s="54"/>
      <c r="C55" s="48"/>
      <c r="D55" s="54"/>
    </row>
    <row r="56" spans="1:4" x14ac:dyDescent="0.25">
      <c r="A56" s="60"/>
      <c r="B56" s="54"/>
      <c r="C56" s="48"/>
      <c r="D56" s="54"/>
    </row>
    <row r="57" spans="1:4" x14ac:dyDescent="0.25">
      <c r="A57" s="60"/>
      <c r="B57" s="54"/>
      <c r="C57" s="48"/>
      <c r="D57" s="54"/>
    </row>
    <row r="58" spans="1:4" x14ac:dyDescent="0.25">
      <c r="A58" s="60"/>
      <c r="B58" s="54"/>
      <c r="C58" s="48"/>
      <c r="D58" s="54"/>
    </row>
    <row r="59" spans="1:4" x14ac:dyDescent="0.25">
      <c r="A59" s="60"/>
      <c r="B59" s="54"/>
      <c r="C59" s="48"/>
      <c r="D59" s="54">
        <v>0</v>
      </c>
    </row>
    <row r="60" spans="1:4" x14ac:dyDescent="0.25">
      <c r="A60" s="26" t="s">
        <v>67</v>
      </c>
      <c r="B60" s="32"/>
      <c r="C60" s="32">
        <f>SUM(C49:C59)</f>
        <v>0</v>
      </c>
      <c r="D60" s="32">
        <f>SUM(D49:D59)</f>
        <v>0</v>
      </c>
    </row>
    <row r="61" spans="1:4" x14ac:dyDescent="0.25">
      <c r="A61" s="45"/>
      <c r="B61" s="46"/>
      <c r="C61" s="46"/>
      <c r="D61" s="46"/>
    </row>
    <row r="62" spans="1:4" x14ac:dyDescent="0.25">
      <c r="A62" s="47" t="s">
        <v>69</v>
      </c>
      <c r="B62" s="27"/>
      <c r="C62" s="27"/>
      <c r="D62" s="27"/>
    </row>
    <row r="63" spans="1:4" x14ac:dyDescent="0.25">
      <c r="A63" s="60"/>
      <c r="B63" s="31"/>
      <c r="C63" s="48"/>
      <c r="D63" s="54">
        <v>0</v>
      </c>
    </row>
    <row r="64" spans="1:4" x14ac:dyDescent="0.25">
      <c r="A64" s="60"/>
      <c r="B64" s="31"/>
      <c r="C64" s="48"/>
      <c r="D64" s="54"/>
    </row>
    <row r="65" spans="1:4" x14ac:dyDescent="0.25">
      <c r="A65" s="60"/>
      <c r="B65" s="31"/>
      <c r="C65" s="48"/>
      <c r="D65" s="54"/>
    </row>
    <row r="66" spans="1:4" x14ac:dyDescent="0.25">
      <c r="A66" s="60"/>
      <c r="B66" s="31"/>
      <c r="C66" s="48"/>
      <c r="D66" s="54"/>
    </row>
    <row r="67" spans="1:4" x14ac:dyDescent="0.25">
      <c r="A67" s="60"/>
      <c r="B67" s="31"/>
      <c r="C67" s="48"/>
      <c r="D67" s="54"/>
    </row>
    <row r="68" spans="1:4" x14ac:dyDescent="0.25">
      <c r="A68" s="60"/>
      <c r="B68" s="31"/>
      <c r="C68" s="48">
        <v>0</v>
      </c>
      <c r="D68" s="54"/>
    </row>
    <row r="69" spans="1:4" x14ac:dyDescent="0.25">
      <c r="A69" s="26" t="s">
        <v>72</v>
      </c>
      <c r="B69" s="32"/>
      <c r="C69" s="32">
        <f>SUM(C63:C68)</f>
        <v>0</v>
      </c>
      <c r="D69" s="32">
        <f>SUM(D63:D68)</f>
        <v>0</v>
      </c>
    </row>
    <row r="70" spans="1:4" x14ac:dyDescent="0.25">
      <c r="B70" s="27"/>
      <c r="C70" s="27"/>
      <c r="D70" s="27"/>
    </row>
    <row r="71" spans="1:4" ht="15.6" x14ac:dyDescent="0.3">
      <c r="A71" s="16" t="s">
        <v>47</v>
      </c>
      <c r="B71" s="28">
        <f>B39+B47+B60</f>
        <v>0</v>
      </c>
      <c r="C71" s="28">
        <f>-C39-C47+C60+C69</f>
        <v>0</v>
      </c>
      <c r="D71" s="28">
        <f>D39+D47+D60+D69</f>
        <v>0</v>
      </c>
    </row>
    <row r="72" spans="1:4" x14ac:dyDescent="0.25">
      <c r="B72" s="27"/>
      <c r="C72" s="27"/>
      <c r="D72" s="27"/>
    </row>
  </sheetData>
  <mergeCells count="5">
    <mergeCell ref="A1:D1"/>
    <mergeCell ref="A2:D2"/>
    <mergeCell ref="A25:D25"/>
    <mergeCell ref="A26:D26"/>
    <mergeCell ref="A27:D27"/>
  </mergeCells>
  <phoneticPr fontId="8" type="noConversion"/>
  <pageMargins left="0.75" right="0.75" top="1" bottom="1" header="0.5" footer="0.5"/>
  <pageSetup scale="98" fitToHeight="0" orientation="portrait" horizontalDpi="300" verticalDpi="300"/>
  <headerFooter alignWithMargins="0"/>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J26"/>
  <sheetViews>
    <sheetView zoomScale="125" zoomScaleNormal="125" zoomScalePageLayoutView="125" workbookViewId="0">
      <selection activeCell="C7" sqref="C7"/>
    </sheetView>
  </sheetViews>
  <sheetFormatPr defaultColWidth="8.77734375" defaultRowHeight="13.2" x14ac:dyDescent="0.25"/>
  <cols>
    <col min="1" max="1" width="3.109375" style="10" customWidth="1"/>
    <col min="2" max="2" width="56.44140625" customWidth="1"/>
    <col min="3" max="3" width="6" style="10" customWidth="1"/>
    <col min="4" max="4" width="13.44140625" customWidth="1"/>
    <col min="5" max="5" width="14" bestFit="1" customWidth="1"/>
    <col min="6" max="6" width="10.33203125" customWidth="1"/>
    <col min="7" max="7" width="10.44140625" customWidth="1"/>
    <col min="8" max="8" width="10.33203125" bestFit="1" customWidth="1"/>
  </cols>
  <sheetData>
    <row r="2" spans="1:10" ht="21.75" customHeight="1" x14ac:dyDescent="0.4">
      <c r="A2" s="159" t="s">
        <v>129</v>
      </c>
      <c r="B2" s="159"/>
      <c r="C2" s="159"/>
      <c r="D2" s="159"/>
      <c r="E2" s="159"/>
      <c r="F2" s="159"/>
      <c r="G2" s="159"/>
      <c r="H2" s="159"/>
    </row>
    <row r="3" spans="1:10" x14ac:dyDescent="0.25">
      <c r="A3" s="166">
        <f ca="1">TODAY()</f>
        <v>44209</v>
      </c>
      <c r="B3" s="166"/>
      <c r="C3" s="166"/>
      <c r="D3" s="166"/>
      <c r="E3" s="166"/>
      <c r="F3" s="166"/>
      <c r="G3" s="166"/>
      <c r="H3" s="166"/>
    </row>
    <row r="4" spans="1:10" x14ac:dyDescent="0.25">
      <c r="A4" s="21"/>
      <c r="B4" s="21"/>
      <c r="C4" s="21"/>
      <c r="D4" s="21"/>
      <c r="E4" s="21"/>
      <c r="F4" s="21"/>
      <c r="G4" s="21"/>
      <c r="H4" s="21"/>
    </row>
    <row r="5" spans="1:10" x14ac:dyDescent="0.25">
      <c r="C5" s="61" t="s">
        <v>48</v>
      </c>
      <c r="D5" s="15" t="s">
        <v>49</v>
      </c>
      <c r="E5" s="15" t="s">
        <v>50</v>
      </c>
      <c r="F5" s="15" t="s">
        <v>50</v>
      </c>
      <c r="G5" s="61" t="s">
        <v>51</v>
      </c>
      <c r="H5" s="15" t="s">
        <v>52</v>
      </c>
    </row>
    <row r="6" spans="1:10" ht="13.8" thickBot="1" x14ac:dyDescent="0.3">
      <c r="A6" s="10" t="s">
        <v>53</v>
      </c>
      <c r="B6" s="6" t="s">
        <v>60</v>
      </c>
      <c r="C6" s="61" t="s">
        <v>54</v>
      </c>
      <c r="D6" s="15" t="s">
        <v>55</v>
      </c>
      <c r="E6" s="15" t="s">
        <v>43</v>
      </c>
      <c r="F6" s="15" t="s">
        <v>56</v>
      </c>
      <c r="G6" s="61" t="s">
        <v>57</v>
      </c>
      <c r="H6" s="15" t="s">
        <v>58</v>
      </c>
    </row>
    <row r="7" spans="1:10" x14ac:dyDescent="0.25">
      <c r="A7" s="90">
        <v>1</v>
      </c>
      <c r="B7" s="149" t="str">
        <f>'Real Estate Balance Sheet'!B20</f>
        <v>Rental Property Address 1</v>
      </c>
      <c r="C7" s="155"/>
      <c r="D7" s="37">
        <f>'Real Estate Balance Sheet'!D20</f>
        <v>0</v>
      </c>
      <c r="E7" s="37">
        <f>'Real Estate Balance Sheet'!G20</f>
        <v>0</v>
      </c>
      <c r="F7" s="37">
        <f>'Real Estate Balance Sheet'!H20</f>
        <v>0</v>
      </c>
      <c r="G7" s="152"/>
      <c r="H7" s="38">
        <f>'Real Estate Balance Sheet'!E20</f>
        <v>0</v>
      </c>
    </row>
    <row r="8" spans="1:10" x14ac:dyDescent="0.25">
      <c r="A8" s="91"/>
      <c r="B8" s="150">
        <f>'Real Estate Balance Sheet'!B21</f>
        <v>0</v>
      </c>
      <c r="C8" s="156"/>
      <c r="D8" s="31"/>
      <c r="E8" s="31"/>
      <c r="F8" s="31"/>
      <c r="G8" s="153"/>
      <c r="H8" s="40"/>
    </row>
    <row r="9" spans="1:10" x14ac:dyDescent="0.25">
      <c r="A9" s="92">
        <v>2</v>
      </c>
      <c r="B9" s="151">
        <f>'Real Estate Balance Sheet'!B22</f>
        <v>0</v>
      </c>
      <c r="C9" s="156"/>
      <c r="D9" s="31">
        <f>'Real Estate Balance Sheet'!D22</f>
        <v>0</v>
      </c>
      <c r="E9" s="31">
        <f>'Real Estate Balance Sheet'!G22</f>
        <v>0</v>
      </c>
      <c r="F9" s="31">
        <f>'Real Estate Balance Sheet'!H22</f>
        <v>0</v>
      </c>
      <c r="G9" s="153"/>
      <c r="H9" s="40">
        <f>'Real Estate Balance Sheet'!E22</f>
        <v>0</v>
      </c>
      <c r="J9" s="137" t="s">
        <v>119</v>
      </c>
    </row>
    <row r="10" spans="1:10" x14ac:dyDescent="0.25">
      <c r="A10" s="91"/>
      <c r="B10" s="150">
        <f>'Real Estate Balance Sheet'!B23</f>
        <v>0</v>
      </c>
      <c r="C10" s="156"/>
      <c r="D10" s="31"/>
      <c r="E10" s="31"/>
      <c r="F10" s="31"/>
      <c r="G10" s="153"/>
      <c r="H10" s="40"/>
    </row>
    <row r="11" spans="1:10" x14ac:dyDescent="0.25">
      <c r="A11" s="92">
        <v>3</v>
      </c>
      <c r="B11" s="151">
        <f>'Real Estate Balance Sheet'!B24</f>
        <v>0</v>
      </c>
      <c r="C11" s="156"/>
      <c r="D11" s="31"/>
      <c r="E11" s="31">
        <f>'Real Estate Balance Sheet'!G24</f>
        <v>0</v>
      </c>
      <c r="F11" s="31">
        <f>'Real Estate Balance Sheet'!H24</f>
        <v>0</v>
      </c>
      <c r="G11" s="153"/>
      <c r="H11" s="40">
        <f>'Real Estate Balance Sheet'!E24</f>
        <v>0</v>
      </c>
      <c r="J11" s="137" t="s">
        <v>119</v>
      </c>
    </row>
    <row r="12" spans="1:10" x14ac:dyDescent="0.25">
      <c r="A12" s="91"/>
      <c r="B12" s="150">
        <f>'Real Estate Balance Sheet'!B25</f>
        <v>0</v>
      </c>
      <c r="C12" s="156"/>
      <c r="D12" s="31"/>
      <c r="E12" s="31"/>
      <c r="F12" s="31"/>
      <c r="G12" s="153"/>
      <c r="H12" s="40"/>
    </row>
    <row r="13" spans="1:10" x14ac:dyDescent="0.25">
      <c r="A13" s="92">
        <v>4</v>
      </c>
      <c r="B13" s="151">
        <f>'Real Estate Balance Sheet'!B26</f>
        <v>0</v>
      </c>
      <c r="C13" s="156"/>
      <c r="D13" s="31">
        <f>'Real Estate Balance Sheet'!D26</f>
        <v>0</v>
      </c>
      <c r="E13" s="31">
        <f>'Real Estate Balance Sheet'!G26</f>
        <v>0</v>
      </c>
      <c r="F13" s="31">
        <f>'Real Estate Balance Sheet'!H26</f>
        <v>0</v>
      </c>
      <c r="G13" s="153"/>
      <c r="H13" s="40">
        <f>'Real Estate Balance Sheet'!E26</f>
        <v>0</v>
      </c>
    </row>
    <row r="14" spans="1:10" x14ac:dyDescent="0.25">
      <c r="A14" s="92"/>
      <c r="B14" s="150">
        <f>'Real Estate Balance Sheet'!B27</f>
        <v>0</v>
      </c>
      <c r="C14" s="156"/>
      <c r="D14" s="31"/>
      <c r="E14" s="31"/>
      <c r="F14" s="31"/>
      <c r="G14" s="153"/>
      <c r="H14" s="40"/>
    </row>
    <row r="15" spans="1:10" x14ac:dyDescent="0.25">
      <c r="A15" s="92">
        <v>5</v>
      </c>
      <c r="B15" s="151">
        <f>'Real Estate Balance Sheet'!B28</f>
        <v>0</v>
      </c>
      <c r="C15" s="156"/>
      <c r="D15" s="31">
        <f>'Real Estate Balance Sheet'!D28</f>
        <v>0</v>
      </c>
      <c r="E15" s="31">
        <f>'Real Estate Balance Sheet'!G28</f>
        <v>0</v>
      </c>
      <c r="F15" s="31">
        <f>'Real Estate Balance Sheet'!H28</f>
        <v>0</v>
      </c>
      <c r="G15" s="153"/>
      <c r="H15" s="40">
        <f>'Real Estate Balance Sheet'!E28</f>
        <v>0</v>
      </c>
      <c r="J15" s="137" t="s">
        <v>119</v>
      </c>
    </row>
    <row r="16" spans="1:10" x14ac:dyDescent="0.25">
      <c r="A16" s="92"/>
      <c r="B16" s="150">
        <f>'Real Estate Balance Sheet'!B29</f>
        <v>0</v>
      </c>
      <c r="C16" s="156"/>
      <c r="D16" s="31"/>
      <c r="E16" s="31"/>
      <c r="F16" s="31"/>
      <c r="G16" s="153"/>
      <c r="H16" s="40"/>
    </row>
    <row r="17" spans="1:8" x14ac:dyDescent="0.25">
      <c r="A17" s="92">
        <v>6</v>
      </c>
      <c r="B17" s="151">
        <f>'Real Estate Balance Sheet'!B30</f>
        <v>0</v>
      </c>
      <c r="C17" s="156"/>
      <c r="D17" s="31">
        <f>'Real Estate Balance Sheet'!D30</f>
        <v>0</v>
      </c>
      <c r="E17" s="31">
        <f>'Real Estate Balance Sheet'!G30</f>
        <v>0</v>
      </c>
      <c r="F17" s="31">
        <f>'Real Estate Balance Sheet'!H30</f>
        <v>0</v>
      </c>
      <c r="G17" s="153"/>
      <c r="H17" s="40">
        <f>'Real Estate Balance Sheet'!E30</f>
        <v>0</v>
      </c>
    </row>
    <row r="18" spans="1:8" x14ac:dyDescent="0.25">
      <c r="A18" s="92"/>
      <c r="B18" s="150">
        <f>'Real Estate Balance Sheet'!B31</f>
        <v>0</v>
      </c>
      <c r="C18" s="156"/>
      <c r="D18" s="31"/>
      <c r="E18" s="31"/>
      <c r="F18" s="31"/>
      <c r="G18" s="153"/>
      <c r="H18" s="40"/>
    </row>
    <row r="19" spans="1:8" x14ac:dyDescent="0.25">
      <c r="A19" s="92">
        <v>7</v>
      </c>
      <c r="B19" s="151">
        <f>'Real Estate Balance Sheet'!B32</f>
        <v>0</v>
      </c>
      <c r="C19" s="156"/>
      <c r="D19" s="31">
        <f>'Real Estate Balance Sheet'!D32</f>
        <v>0</v>
      </c>
      <c r="E19" s="31">
        <f>'Real Estate Balance Sheet'!G32</f>
        <v>0</v>
      </c>
      <c r="F19" s="31">
        <f>'Real Estate Balance Sheet'!H32</f>
        <v>0</v>
      </c>
      <c r="G19" s="153">
        <v>0</v>
      </c>
      <c r="H19" s="40">
        <f>'Real Estate Balance Sheet'!E32</f>
        <v>0</v>
      </c>
    </row>
    <row r="20" spans="1:8" x14ac:dyDescent="0.25">
      <c r="A20" s="92"/>
      <c r="B20" s="150">
        <f>'Real Estate Balance Sheet'!B33</f>
        <v>0</v>
      </c>
      <c r="C20" s="156"/>
      <c r="D20" s="31"/>
      <c r="E20" s="31"/>
      <c r="F20" s="31"/>
      <c r="G20" s="153"/>
      <c r="H20" s="40"/>
    </row>
    <row r="21" spans="1:8" x14ac:dyDescent="0.25">
      <c r="A21" s="92">
        <v>8</v>
      </c>
      <c r="B21" s="151">
        <f>'Real Estate Balance Sheet'!B34</f>
        <v>0</v>
      </c>
      <c r="C21" s="156"/>
      <c r="D21" s="31">
        <f>'Real Estate Balance Sheet'!D34</f>
        <v>0</v>
      </c>
      <c r="E21" s="31">
        <f>'Real Estate Balance Sheet'!G34</f>
        <v>0</v>
      </c>
      <c r="F21" s="31">
        <f>'Real Estate Balance Sheet'!H34</f>
        <v>0</v>
      </c>
      <c r="G21" s="153">
        <v>0</v>
      </c>
      <c r="H21" s="40">
        <f>'Real Estate Balance Sheet'!E34</f>
        <v>0</v>
      </c>
    </row>
    <row r="22" spans="1:8" x14ac:dyDescent="0.25">
      <c r="A22" s="92"/>
      <c r="B22" s="150">
        <f>'Real Estate Balance Sheet'!B35</f>
        <v>0</v>
      </c>
      <c r="C22" s="156"/>
      <c r="D22" s="31"/>
      <c r="E22" s="31"/>
      <c r="F22" s="31"/>
      <c r="G22" s="153"/>
      <c r="H22" s="40"/>
    </row>
    <row r="23" spans="1:8" x14ac:dyDescent="0.25">
      <c r="A23" s="92">
        <v>9</v>
      </c>
      <c r="B23" s="151">
        <f>'Real Estate Balance Sheet'!B36</f>
        <v>0</v>
      </c>
      <c r="C23" s="156"/>
      <c r="D23" s="31">
        <f>'Real Estate Balance Sheet'!D36</f>
        <v>0</v>
      </c>
      <c r="E23" s="31">
        <f>'Real Estate Balance Sheet'!G36</f>
        <v>0</v>
      </c>
      <c r="F23" s="31">
        <f>'Real Estate Balance Sheet'!H36</f>
        <v>0</v>
      </c>
      <c r="G23" s="153">
        <v>0</v>
      </c>
      <c r="H23" s="40">
        <f>'Real Estate Balance Sheet'!E36</f>
        <v>0</v>
      </c>
    </row>
    <row r="24" spans="1:8" ht="13.8" thickBot="1" x14ac:dyDescent="0.3">
      <c r="A24" s="93"/>
      <c r="B24" s="158">
        <f>'Real Estate Balance Sheet'!B37</f>
        <v>0</v>
      </c>
      <c r="C24" s="157"/>
      <c r="D24" s="42"/>
      <c r="E24" s="42"/>
      <c r="F24" s="42"/>
      <c r="G24" s="154"/>
      <c r="H24" s="43"/>
    </row>
    <row r="25" spans="1:8" x14ac:dyDescent="0.25">
      <c r="D25" s="27"/>
      <c r="E25" s="27"/>
      <c r="F25" s="27"/>
      <c r="G25" s="62"/>
      <c r="H25" s="27"/>
    </row>
    <row r="26" spans="1:8" ht="15.6" x14ac:dyDescent="0.3">
      <c r="B26" s="20" t="s">
        <v>59</v>
      </c>
      <c r="C26" s="33"/>
      <c r="D26" s="27">
        <f>SUM(D7:D25)</f>
        <v>0</v>
      </c>
      <c r="E26" s="27">
        <f>SUM(E7:E25)</f>
        <v>0</v>
      </c>
      <c r="F26" s="27">
        <f>SUM(F7:F25)</f>
        <v>0</v>
      </c>
      <c r="G26" s="62">
        <f>SUM(G7:G25)</f>
        <v>0</v>
      </c>
      <c r="H26" s="27">
        <f>SUM(H7:H25)</f>
        <v>0</v>
      </c>
    </row>
  </sheetData>
  <sheetProtection sheet="1" objects="1" scenarios="1" selectLockedCells="1"/>
  <mergeCells count="2">
    <mergeCell ref="A2:H2"/>
    <mergeCell ref="A3:H3"/>
  </mergeCells>
  <phoneticPr fontId="8" type="noConversion"/>
  <pageMargins left="0.75" right="0.75" top="1" bottom="1" header="0.5" footer="0.5"/>
  <pageSetup scale="92" orientation="landscape" horizontalDpi="300" verticalDpi="300"/>
  <headerFooter alignWithMargins="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40"/>
  <sheetViews>
    <sheetView workbookViewId="0">
      <pane ySplit="6" topLeftCell="A7" activePane="bottomLeft" state="frozen"/>
      <selection pane="bottomLeft" activeCell="B21" sqref="B21"/>
    </sheetView>
  </sheetViews>
  <sheetFormatPr defaultColWidth="8.77734375" defaultRowHeight="13.2" x14ac:dyDescent="0.25"/>
  <cols>
    <col min="1" max="1" width="2.6640625" customWidth="1"/>
    <col min="2" max="2" width="58" customWidth="1"/>
    <col min="3" max="3" width="17" customWidth="1"/>
    <col min="4" max="4" width="17.6640625" bestFit="1" customWidth="1"/>
    <col min="5" max="5" width="13.109375" customWidth="1"/>
    <col min="6" max="6" width="0.6640625" customWidth="1"/>
    <col min="7" max="7" width="18" customWidth="1"/>
    <col min="8" max="8" width="15.44140625" customWidth="1"/>
    <col min="9" max="9" width="13.44140625" customWidth="1"/>
  </cols>
  <sheetData>
    <row r="1" spans="1:10" ht="22.8" x14ac:dyDescent="0.4">
      <c r="A1" s="159" t="s">
        <v>73</v>
      </c>
      <c r="B1" s="159"/>
      <c r="C1" s="159"/>
      <c r="D1" s="159"/>
      <c r="E1" s="159"/>
      <c r="F1" s="159"/>
      <c r="G1" s="159"/>
      <c r="H1" s="159"/>
      <c r="I1" s="159"/>
    </row>
    <row r="2" spans="1:10" x14ac:dyDescent="0.25">
      <c r="A2" s="167">
        <f ca="1">TODAY()</f>
        <v>44209</v>
      </c>
      <c r="B2" s="167"/>
      <c r="C2" s="167"/>
      <c r="D2" s="167"/>
      <c r="E2" s="167"/>
      <c r="F2" s="167"/>
      <c r="G2" s="167"/>
      <c r="H2" s="167"/>
      <c r="I2" s="167"/>
    </row>
    <row r="4" spans="1:10" ht="15.6" x14ac:dyDescent="0.3">
      <c r="B4" s="165" t="s">
        <v>63</v>
      </c>
      <c r="C4" s="165"/>
      <c r="D4" s="165"/>
      <c r="E4" s="165"/>
      <c r="G4" s="165" t="s">
        <v>66</v>
      </c>
      <c r="H4" s="165"/>
      <c r="I4" s="165"/>
      <c r="J4" s="165"/>
    </row>
    <row r="6" spans="1:10" ht="13.8" thickBot="1" x14ac:dyDescent="0.3">
      <c r="A6" s="6" t="s">
        <v>53</v>
      </c>
      <c r="B6" s="6" t="s">
        <v>83</v>
      </c>
      <c r="C6" s="15" t="s">
        <v>61</v>
      </c>
      <c r="D6" s="61" t="s">
        <v>77</v>
      </c>
      <c r="E6" s="61" t="s">
        <v>62</v>
      </c>
      <c r="F6" s="61"/>
      <c r="G6" s="61" t="s">
        <v>78</v>
      </c>
      <c r="H6" s="61" t="s">
        <v>64</v>
      </c>
      <c r="I6" s="15" t="s">
        <v>65</v>
      </c>
    </row>
    <row r="7" spans="1:10" ht="21.75" customHeight="1" x14ac:dyDescent="0.25">
      <c r="A7" s="36">
        <v>1</v>
      </c>
      <c r="B7" s="77" t="s">
        <v>128</v>
      </c>
      <c r="C7" s="37">
        <f>D7-G7</f>
        <v>500000</v>
      </c>
      <c r="D7" s="51">
        <v>500000</v>
      </c>
      <c r="E7" s="52">
        <v>0</v>
      </c>
      <c r="F7" s="78"/>
      <c r="G7" s="53">
        <v>0</v>
      </c>
      <c r="H7" s="51">
        <v>0</v>
      </c>
      <c r="I7" s="71">
        <f>G7/D7</f>
        <v>0</v>
      </c>
    </row>
    <row r="8" spans="1:10" x14ac:dyDescent="0.25">
      <c r="A8" s="39"/>
      <c r="B8" s="57"/>
      <c r="C8" s="31"/>
      <c r="D8" s="54"/>
      <c r="E8" s="55"/>
      <c r="F8" s="75"/>
      <c r="G8" s="56"/>
      <c r="H8" s="54"/>
      <c r="I8" s="72"/>
    </row>
    <row r="9" spans="1:10" x14ac:dyDescent="0.25">
      <c r="A9" s="39">
        <v>2</v>
      </c>
      <c r="B9" s="59"/>
      <c r="C9" s="31">
        <v>0</v>
      </c>
      <c r="D9" s="54">
        <v>0</v>
      </c>
      <c r="E9" s="55">
        <v>0</v>
      </c>
      <c r="F9" s="75"/>
      <c r="G9" s="56">
        <v>0</v>
      </c>
      <c r="H9" s="54">
        <v>0</v>
      </c>
      <c r="I9" s="72" t="e">
        <f>G9/D9</f>
        <v>#DIV/0!</v>
      </c>
    </row>
    <row r="10" spans="1:10" x14ac:dyDescent="0.25">
      <c r="A10" s="39"/>
      <c r="B10" s="57"/>
      <c r="C10" s="31"/>
      <c r="D10" s="54"/>
      <c r="E10" s="55"/>
      <c r="F10" s="75"/>
      <c r="G10" s="56"/>
      <c r="H10" s="54"/>
      <c r="I10" s="72"/>
    </row>
    <row r="11" spans="1:10" x14ac:dyDescent="0.25">
      <c r="A11" s="39">
        <v>3</v>
      </c>
      <c r="B11" s="57"/>
      <c r="C11" s="31">
        <f>D11-G11</f>
        <v>0</v>
      </c>
      <c r="D11" s="54"/>
      <c r="E11" s="55"/>
      <c r="F11" s="75"/>
      <c r="G11" s="56"/>
      <c r="H11" s="54"/>
      <c r="I11" s="72" t="e">
        <f>G11/D11</f>
        <v>#DIV/0!</v>
      </c>
    </row>
    <row r="12" spans="1:10" x14ac:dyDescent="0.25">
      <c r="A12" s="39"/>
      <c r="B12" s="57"/>
      <c r="C12" s="31"/>
      <c r="D12" s="54"/>
      <c r="E12" s="55"/>
      <c r="F12" s="75"/>
      <c r="G12" s="56"/>
      <c r="H12" s="54"/>
      <c r="I12" s="72"/>
    </row>
    <row r="13" spans="1:10" x14ac:dyDescent="0.25">
      <c r="A13" s="39">
        <v>4</v>
      </c>
      <c r="B13" s="57"/>
      <c r="C13" s="31">
        <f>D13-G13</f>
        <v>0</v>
      </c>
      <c r="D13" s="54"/>
      <c r="E13" s="55"/>
      <c r="F13" s="75"/>
      <c r="G13" s="56"/>
      <c r="H13" s="54"/>
      <c r="I13" s="72" t="e">
        <f>G13/D13</f>
        <v>#DIV/0!</v>
      </c>
    </row>
    <row r="14" spans="1:10" x14ac:dyDescent="0.25">
      <c r="A14" s="39"/>
      <c r="B14" s="57"/>
      <c r="C14" s="31"/>
      <c r="D14" s="54"/>
      <c r="E14" s="55"/>
      <c r="F14" s="75"/>
      <c r="G14" s="56"/>
      <c r="H14" s="54"/>
      <c r="I14" s="72"/>
    </row>
    <row r="15" spans="1:10" x14ac:dyDescent="0.25">
      <c r="A15" s="39">
        <v>5</v>
      </c>
      <c r="B15" s="57"/>
      <c r="C15" s="31">
        <f>D15-G15</f>
        <v>0</v>
      </c>
      <c r="D15" s="54"/>
      <c r="E15" s="55"/>
      <c r="F15" s="75"/>
      <c r="G15" s="56"/>
      <c r="H15" s="54"/>
      <c r="I15" s="72" t="e">
        <f>G15/D15</f>
        <v>#DIV/0!</v>
      </c>
    </row>
    <row r="16" spans="1:10" ht="13.8" thickBot="1" x14ac:dyDescent="0.3">
      <c r="A16" s="41"/>
      <c r="B16" s="79"/>
      <c r="C16" s="42"/>
      <c r="D16" s="80"/>
      <c r="E16" s="81"/>
      <c r="F16" s="82"/>
      <c r="G16" s="83"/>
      <c r="H16" s="80"/>
      <c r="I16" s="84"/>
    </row>
    <row r="17" spans="1:9" ht="15.6" x14ac:dyDescent="0.3">
      <c r="A17" s="45"/>
      <c r="B17" s="88" t="s">
        <v>81</v>
      </c>
      <c r="C17" s="74">
        <f>SUM(C7:C16)</f>
        <v>500000</v>
      </c>
      <c r="D17" s="74">
        <f>SUM(D7:D16)</f>
        <v>500000</v>
      </c>
      <c r="E17" s="74">
        <f>SUM(E7:E16)</f>
        <v>0</v>
      </c>
      <c r="F17" s="75"/>
      <c r="G17" s="74">
        <f>SUM(G7:G16)</f>
        <v>0</v>
      </c>
      <c r="H17" s="74">
        <f>SUM(H7:H16)</f>
        <v>0</v>
      </c>
      <c r="I17" s="35">
        <f>G17/D17</f>
        <v>0</v>
      </c>
    </row>
    <row r="18" spans="1:9" x14ac:dyDescent="0.25">
      <c r="A18" s="45"/>
      <c r="B18" s="73"/>
      <c r="C18" s="74"/>
      <c r="D18" s="75"/>
      <c r="E18" s="75"/>
      <c r="F18" s="75"/>
      <c r="G18" s="75"/>
      <c r="H18" s="75"/>
      <c r="I18" s="76"/>
    </row>
    <row r="19" spans="1:9" ht="13.8" thickBot="1" x14ac:dyDescent="0.3">
      <c r="A19" s="45"/>
      <c r="B19" s="86" t="s">
        <v>82</v>
      </c>
      <c r="C19" s="74"/>
      <c r="D19" s="75"/>
      <c r="E19" s="75"/>
      <c r="F19" s="75"/>
      <c r="G19" s="75"/>
      <c r="H19" s="75"/>
      <c r="I19" s="76"/>
    </row>
    <row r="20" spans="1:9" x14ac:dyDescent="0.25">
      <c r="A20" s="36">
        <v>1</v>
      </c>
      <c r="B20" s="68" t="s">
        <v>132</v>
      </c>
      <c r="C20" s="37">
        <f>D20-G20</f>
        <v>0</v>
      </c>
      <c r="D20" s="51"/>
      <c r="E20" s="52"/>
      <c r="F20" s="78"/>
      <c r="G20" s="53"/>
      <c r="H20" s="51"/>
      <c r="I20" s="71" t="e">
        <f>G20/D20</f>
        <v>#DIV/0!</v>
      </c>
    </row>
    <row r="21" spans="1:9" x14ac:dyDescent="0.25">
      <c r="A21" s="39"/>
      <c r="B21" s="134"/>
      <c r="C21" s="31"/>
      <c r="D21" s="54"/>
      <c r="E21" s="55"/>
      <c r="F21" s="75"/>
      <c r="G21" s="56"/>
      <c r="H21" s="54"/>
      <c r="I21" s="72"/>
    </row>
    <row r="22" spans="1:9" x14ac:dyDescent="0.25">
      <c r="A22" s="39">
        <v>2</v>
      </c>
      <c r="B22" s="70"/>
      <c r="C22" s="31">
        <f>D22-G22</f>
        <v>0</v>
      </c>
      <c r="D22" s="54"/>
      <c r="E22" s="55"/>
      <c r="F22" s="75"/>
      <c r="G22" s="56"/>
      <c r="H22" s="54"/>
      <c r="I22" s="72" t="e">
        <f>G22/D22</f>
        <v>#DIV/0!</v>
      </c>
    </row>
    <row r="23" spans="1:9" x14ac:dyDescent="0.25">
      <c r="A23" s="39"/>
      <c r="B23" s="134"/>
      <c r="C23" s="31"/>
      <c r="D23" s="54"/>
      <c r="E23" s="55"/>
      <c r="F23" s="75"/>
      <c r="G23" s="56"/>
      <c r="H23" s="54"/>
      <c r="I23" s="72"/>
    </row>
    <row r="24" spans="1:9" x14ac:dyDescent="0.25">
      <c r="A24" s="39">
        <v>3</v>
      </c>
      <c r="B24" s="120"/>
      <c r="C24" s="31">
        <f>D24-G24</f>
        <v>0</v>
      </c>
      <c r="D24" s="54"/>
      <c r="E24" s="55"/>
      <c r="F24" s="75"/>
      <c r="G24" s="56"/>
      <c r="H24" s="54"/>
      <c r="I24" s="72" t="e">
        <f>G24/D24</f>
        <v>#DIV/0!</v>
      </c>
    </row>
    <row r="25" spans="1:9" x14ac:dyDescent="0.25">
      <c r="A25" s="39"/>
      <c r="B25" s="134"/>
      <c r="C25" s="31"/>
      <c r="D25" s="54"/>
      <c r="E25" s="55"/>
      <c r="F25" s="75"/>
      <c r="G25" s="56"/>
      <c r="H25" s="54"/>
      <c r="I25" s="72"/>
    </row>
    <row r="26" spans="1:9" x14ac:dyDescent="0.25">
      <c r="A26" s="39">
        <v>4</v>
      </c>
      <c r="B26" s="120"/>
      <c r="C26" s="31">
        <f>D26-G26</f>
        <v>0</v>
      </c>
      <c r="D26" s="54"/>
      <c r="E26" s="55"/>
      <c r="F26" s="75"/>
      <c r="G26" s="56"/>
      <c r="H26" s="54"/>
      <c r="I26" s="72" t="e">
        <f>G26/D26</f>
        <v>#DIV/0!</v>
      </c>
    </row>
    <row r="27" spans="1:9" x14ac:dyDescent="0.25">
      <c r="A27" s="39"/>
      <c r="B27" s="134"/>
      <c r="C27" s="31"/>
      <c r="D27" s="54"/>
      <c r="E27" s="55"/>
      <c r="F27" s="75"/>
      <c r="G27" s="56"/>
      <c r="H27" s="54"/>
      <c r="I27" s="72"/>
    </row>
    <row r="28" spans="1:9" x14ac:dyDescent="0.25">
      <c r="A28" s="39">
        <v>5</v>
      </c>
      <c r="B28" s="120"/>
      <c r="C28" s="31">
        <f>D28-G28</f>
        <v>0</v>
      </c>
      <c r="D28" s="54"/>
      <c r="E28" s="55"/>
      <c r="F28" s="75"/>
      <c r="G28" s="56"/>
      <c r="H28" s="54"/>
      <c r="I28" s="72" t="e">
        <f>G28/D28</f>
        <v>#DIV/0!</v>
      </c>
    </row>
    <row r="29" spans="1:9" x14ac:dyDescent="0.25">
      <c r="A29" s="39"/>
      <c r="B29" s="134"/>
      <c r="C29" s="31"/>
      <c r="D29" s="54"/>
      <c r="E29" s="55"/>
      <c r="F29" s="75"/>
      <c r="G29" s="56"/>
      <c r="H29" s="54"/>
      <c r="I29" s="72"/>
    </row>
    <row r="30" spans="1:9" x14ac:dyDescent="0.25">
      <c r="A30" s="39">
        <v>6</v>
      </c>
      <c r="B30" s="120"/>
      <c r="C30" s="31">
        <f>D30-G30</f>
        <v>0</v>
      </c>
      <c r="D30" s="54"/>
      <c r="E30" s="55"/>
      <c r="F30" s="75"/>
      <c r="G30" s="56"/>
      <c r="H30" s="54"/>
      <c r="I30" s="72" t="e">
        <f>G30/D30</f>
        <v>#DIV/0!</v>
      </c>
    </row>
    <row r="31" spans="1:9" x14ac:dyDescent="0.25">
      <c r="A31" s="39"/>
      <c r="B31" s="134"/>
      <c r="C31" s="31"/>
      <c r="D31" s="54"/>
      <c r="E31" s="55"/>
      <c r="F31" s="75"/>
      <c r="G31" s="56"/>
      <c r="H31" s="54"/>
      <c r="I31" s="72"/>
    </row>
    <row r="32" spans="1:9" x14ac:dyDescent="0.25">
      <c r="A32" s="39">
        <v>7</v>
      </c>
      <c r="B32" s="69"/>
      <c r="C32" s="31">
        <f>D32-G32</f>
        <v>0</v>
      </c>
      <c r="D32" s="54"/>
      <c r="E32" s="55"/>
      <c r="F32" s="75"/>
      <c r="G32" s="56"/>
      <c r="H32" s="54"/>
      <c r="I32" s="72" t="e">
        <f>G32/D32</f>
        <v>#DIV/0!</v>
      </c>
    </row>
    <row r="33" spans="1:9" x14ac:dyDescent="0.25">
      <c r="A33" s="39"/>
      <c r="B33" s="69"/>
      <c r="C33" s="31"/>
      <c r="D33" s="54"/>
      <c r="E33" s="55"/>
      <c r="F33" s="75"/>
      <c r="G33" s="56"/>
      <c r="H33" s="54"/>
      <c r="I33" s="72"/>
    </row>
    <row r="34" spans="1:9" x14ac:dyDescent="0.25">
      <c r="A34" s="39">
        <v>8</v>
      </c>
      <c r="B34" s="69"/>
      <c r="C34" s="31">
        <f>D34-G34</f>
        <v>0</v>
      </c>
      <c r="D34" s="54"/>
      <c r="E34" s="55"/>
      <c r="F34" s="75"/>
      <c r="G34" s="56"/>
      <c r="H34" s="54"/>
      <c r="I34" s="72" t="e">
        <f>G34/D34</f>
        <v>#DIV/0!</v>
      </c>
    </row>
    <row r="35" spans="1:9" x14ac:dyDescent="0.25">
      <c r="A35" s="39"/>
      <c r="B35" s="70"/>
      <c r="C35" s="31"/>
      <c r="D35" s="54">
        <v>0</v>
      </c>
      <c r="E35" s="55">
        <v>0</v>
      </c>
      <c r="F35" s="75"/>
      <c r="G35" s="56">
        <v>0</v>
      </c>
      <c r="H35" s="54">
        <v>0</v>
      </c>
      <c r="I35" s="72"/>
    </row>
    <row r="36" spans="1:9" x14ac:dyDescent="0.25">
      <c r="A36" s="39">
        <v>9</v>
      </c>
      <c r="B36" s="69"/>
      <c r="C36" s="31">
        <f>D36-G36</f>
        <v>0</v>
      </c>
      <c r="D36" s="54"/>
      <c r="E36" s="55"/>
      <c r="F36" s="75"/>
      <c r="G36" s="56"/>
      <c r="H36" s="54"/>
      <c r="I36" s="72" t="e">
        <f>G36/D36</f>
        <v>#DIV/0!</v>
      </c>
    </row>
    <row r="37" spans="1:9" ht="13.8" thickBot="1" x14ac:dyDescent="0.3">
      <c r="A37" s="41"/>
      <c r="B37" s="85"/>
      <c r="C37" s="42"/>
      <c r="D37" s="80">
        <v>0</v>
      </c>
      <c r="E37" s="81">
        <v>0</v>
      </c>
      <c r="F37" s="82"/>
      <c r="G37" s="83">
        <v>0</v>
      </c>
      <c r="H37" s="80">
        <v>0</v>
      </c>
      <c r="I37" s="84"/>
    </row>
    <row r="38" spans="1:9" ht="15.6" x14ac:dyDescent="0.3">
      <c r="B38" s="87" t="s">
        <v>80</v>
      </c>
      <c r="C38" s="27">
        <f>SUM(C20:C37)</f>
        <v>0</v>
      </c>
      <c r="D38" s="27">
        <f>SUM(D20:D37)</f>
        <v>0</v>
      </c>
      <c r="E38" s="27">
        <f>SUM(E20:E37)</f>
        <v>0</v>
      </c>
      <c r="F38" s="27"/>
      <c r="G38" s="27">
        <f>SUM(G20:G37)</f>
        <v>0</v>
      </c>
      <c r="H38" s="27">
        <f>SUM(H20:H37)</f>
        <v>0</v>
      </c>
      <c r="I38" s="35" t="e">
        <f>G38/D38</f>
        <v>#DIV/0!</v>
      </c>
    </row>
    <row r="39" spans="1:9" x14ac:dyDescent="0.25">
      <c r="C39" s="27"/>
      <c r="D39" s="27"/>
      <c r="E39" s="27"/>
      <c r="F39" s="27"/>
      <c r="G39" s="27"/>
      <c r="H39" s="27"/>
      <c r="I39" s="34"/>
    </row>
    <row r="40" spans="1:9" ht="15.6" x14ac:dyDescent="0.3">
      <c r="B40" s="89" t="s">
        <v>79</v>
      </c>
      <c r="C40" s="28">
        <f>C38+C17</f>
        <v>500000</v>
      </c>
      <c r="D40" s="28">
        <f>D38+D17</f>
        <v>500000</v>
      </c>
      <c r="E40" s="28">
        <f>E38+E17</f>
        <v>0</v>
      </c>
      <c r="F40" s="28"/>
      <c r="G40" s="28">
        <f>G38+G17</f>
        <v>0</v>
      </c>
      <c r="H40" s="28">
        <f>H38+H17</f>
        <v>0</v>
      </c>
      <c r="I40" s="35">
        <f>G40/D40</f>
        <v>0</v>
      </c>
    </row>
  </sheetData>
  <mergeCells count="4">
    <mergeCell ref="G4:J4"/>
    <mergeCell ref="A1:I1"/>
    <mergeCell ref="A2:I2"/>
    <mergeCell ref="B4:E4"/>
  </mergeCells>
  <phoneticPr fontId="8" type="noConversion"/>
  <pageMargins left="0.75" right="0.75" top="1" bottom="1" header="0.5" footer="0.5"/>
  <pageSetup scale="74" orientation="landscape" horizontalDpi="300" verticalDpi="300"/>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ColWidth="8.77734375" defaultRowHeight="13.2" x14ac:dyDescent="0.25"/>
  <sheetData/>
  <phoneticPr fontId="8"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ColWidth="8.77734375" defaultRowHeight="13.2" x14ac:dyDescent="0.25"/>
  <sheetData/>
  <phoneticPr fontId="8"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ColWidth="8.77734375" defaultRowHeight="13.2" x14ac:dyDescent="0.25"/>
  <sheetData/>
  <phoneticPr fontId="8"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8.77734375" defaultRowHeight="13.2" x14ac:dyDescent="0.25"/>
  <sheetData/>
  <phoneticPr fontId="8"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ColWidth="8.77734375" defaultRowHeight="13.2" x14ac:dyDescent="0.25"/>
  <sheetData/>
  <phoneticPr fontId="8" type="noConversion"/>
  <pageMargins left="0.75" right="0.75" top="1" bottom="1" header="0.5" footer="0.5"/>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How to use this template</vt:lpstr>
      <vt:lpstr>Cashflow</vt:lpstr>
      <vt:lpstr>Balance Statement</vt:lpstr>
      <vt:lpstr>RRSP &amp; Credit</vt:lpstr>
      <vt:lpstr>Overview Rentals</vt:lpstr>
      <vt:lpstr>Real Estate Balance Sheet</vt:lpstr>
      <vt:lpstr>Sheet9</vt:lpstr>
      <vt:lpstr>Sheet8</vt:lpstr>
      <vt:lpstr>Sheet7</vt:lpstr>
      <vt:lpstr>Sheet6</vt:lpstr>
      <vt:lpstr>Sheet5</vt:lpstr>
      <vt:lpstr>'Balance Statement'!Print_Area</vt:lpstr>
      <vt:lpstr>'Overview Rentals'!Print_Area</vt:lpstr>
      <vt:lpstr>'Real Estate Balance Sheet'!Print_Area</vt:lpstr>
      <vt:lpstr>'RRSP &amp; Credit'!Print_Area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Preferred Customer</dc:creator>
  <cp:lastModifiedBy>Monika</cp:lastModifiedBy>
  <cp:lastPrinted>2011-10-09T23:32:34Z</cp:lastPrinted>
  <dcterms:created xsi:type="dcterms:W3CDTF">2007-01-24T04:03:46Z</dcterms:created>
  <dcterms:modified xsi:type="dcterms:W3CDTF">2021-01-13T16:21:05Z</dcterms:modified>
</cp:coreProperties>
</file>